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ivot Table 2" sheetId="2" r:id="rId6"/>
    <sheet state="visible" name="All Countries" sheetId="3" r:id="rId7"/>
    <sheet state="visible" name="MembersByCountry" sheetId="4" r:id="rId8"/>
    <sheet state="visible" name="Country coordinator for Progres" sheetId="5" r:id="rId9"/>
    <sheet state="visible" name="DOIs" sheetId="6" r:id="rId10"/>
    <sheet state="visible" name="DOIs_updated_oct22" sheetId="7" r:id="rId11"/>
    <sheet state="visible" name="Research Proposals" sheetId="8" r:id="rId12"/>
    <sheet state="visible" name="updated_25oct " sheetId="9" r:id="rId13"/>
  </sheets>
  <definedNames>
    <definedName hidden="1" localSheetId="3" name="_xlnm._FilterDatabase">MembersByCountry!$D$1:$I$214</definedName>
    <definedName hidden="1" localSheetId="5" name="_xlnm._FilterDatabase">DOIs!$A$1:$A$1027</definedName>
    <definedName hidden="1" localSheetId="0" name="Z_D73875BC_3CE4_4C50_9AB1_853740E1789B_.wvu.FilterData">'Form responses 1'!$B$1:$B$172</definedName>
    <definedName hidden="1" localSheetId="3" name="Z_D73875BC_3CE4_4C50_9AB1_853740E1789B_.wvu.FilterData">MembersByCountry!$E$1:$E$1003</definedName>
    <definedName hidden="1" localSheetId="0" name="Z_31996289_DDC8_40E7_9760_30494B3E7C4F_.wvu.FilterData">'Form responses 1'!$A$1:$P$73</definedName>
  </definedNames>
  <calcPr/>
  <customWorkbookViews>
    <customWorkbookView activeSheetId="0" maximized="1" windowHeight="0" windowWidth="0" guid="{31996289-DDC8-40E7-9760-30494B3E7C4F}" name="Filter 2"/>
    <customWorkbookView activeSheetId="0" maximized="1" windowHeight="0" windowWidth="0" guid="{D73875BC-3CE4-4C50-9AB1-853740E1789B}" name="Filter 1"/>
  </customWorkbookViews>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9">
      <text>
        <t xml:space="preserve">Responder updated this value.</t>
      </text>
    </comment>
    <comment authorId="0" ref="D59">
      <text>
        <t xml:space="preserve">Responder updated this value.</t>
      </text>
    </comment>
    <comment authorId="0" ref="E59">
      <text>
        <t xml:space="preserve">Responder updated this value.</t>
      </text>
    </comment>
    <comment authorId="0" ref="O59">
      <text>
        <t xml:space="preserve">Responder updated this value.</t>
      </text>
    </comment>
    <comment authorId="0" ref="P59">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tc={8ccb36a3-056d-40a6-8dae-c104893987b8}</author>
  </authors>
  <commentList>
    <comment authorId="0" xr:uid="{8ccb36a3-056d-40a6-8dae-c104893987b8}" ref="A12">
      <text>
        <t xml:space="preserve">[Threaded comment]
 Your version of Excel allows you to read this threaded comment; however, any edits to it will get removed if the file is opened in a newer version of Excel. Learn more: https://go.microsoft.com/fwlink/?linkid=870924
Comment:
	Proposal funded in 2018... surely, it should not go here
</t>
      </text>
    </comment>
  </commentList>
</comments>
</file>

<file path=xl/sharedStrings.xml><?xml version="1.0" encoding="utf-8"?>
<sst xmlns="http://schemas.openxmlformats.org/spreadsheetml/2006/main" count="4457" uniqueCount="1480">
  <si>
    <t>Timestamp</t>
  </si>
  <si>
    <t>Email address</t>
  </si>
  <si>
    <t>Which country are you affiliated to? (use Switzerland instead of CH)</t>
  </si>
  <si>
    <t>Did you or your country contribute to one of the deliverables (or a closely related one)? (Indicate all, we will then follow up) (April 2020 until October 2022)</t>
  </si>
  <si>
    <t>Did you or your country contribute to one of the MoU objectives (or a closely related one)? (Indicate all, we will then follow up) (April 20 to Oct 22)</t>
  </si>
  <si>
    <t>Were you (co-) author of a COST related publication (incl. submitted pre-prints (e.g. arxiv.org))?</t>
  </si>
  <si>
    <t>Were you or your country involved in other projects resulting from Action activities? (If yes, we will follow up with more details later)</t>
  </si>
  <si>
    <t>Were you or your country involved in other outputs/ achievements resulting from Action activities? (e.g. a patent, standards, white paper)</t>
  </si>
  <si>
    <t>Did you create any other impact related to COST FinAI?</t>
  </si>
  <si>
    <t>Did you contribute to activities that are advancing the careers, skills and network of researchers, including ECIs(for example: joint supervision of graduate and PhD students, research exchanges not funded by the Action, collaborations, Training Schools with ECTS accreditation, joint projects and jobs prospects).</t>
  </si>
  <si>
    <t>Did you participate in other dissemination activities? (E.g. participation to non-Action meetings, e.g. EU Parliament, meetings with policy makers, experts in the field, regional authorities.)</t>
  </si>
  <si>
    <t>Were you involved in any other activities undertaken to ensure exploitation (use, in particular in a commercial context) of the Action's achievements.</t>
  </si>
  <si>
    <t>Score</t>
  </si>
  <si>
    <t>Which working group do you belong to?</t>
  </si>
  <si>
    <t>Anything else you think is relevant to the COST report from April 20 to Oct 22? Please add any other achievements, outcomes, cooperations, etc.</t>
  </si>
  <si>
    <t>Were you involved in any proposals/ projects?</t>
  </si>
  <si>
    <t/>
  </si>
  <si>
    <t>lleshlleshaj@feut.edu.al</t>
  </si>
  <si>
    <t>Albania</t>
  </si>
  <si>
    <t>A discussion paper for possible approaches to building a statistically valid back-testing framework, Methodological discussion paper on the design of stress tests for the evaluation of AI and ML models under shifting financial conditions to improve the robustness of models</t>
  </si>
  <si>
    <t>Significantly improve the gender equality in the fields of the Action.</t>
  </si>
  <si>
    <t>No</t>
  </si>
  <si>
    <t>Yes</t>
  </si>
  <si>
    <t>WG 1</t>
  </si>
  <si>
    <t>eliona.gremi@uniel.edu.al</t>
  </si>
  <si>
    <t>Create an excellent network of researchers in Europe with lasting collaboration beyond the lifetime of the Action., Transfer knowledge in terms of expertise, scientific tools and human resources across the different disciplines and between academia and industry.</t>
  </si>
  <si>
    <t>WG 1, WG 2, WG 3</t>
  </si>
  <si>
    <t>tidjani.chemseddine@gmail.com</t>
  </si>
  <si>
    <t>Algeria</t>
  </si>
  <si>
    <t>Disseminate to the public and share with regulators the results on investment product performance evaluation.,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t>
  </si>
  <si>
    <t>WG 2</t>
  </si>
  <si>
    <t>Cost action can be considered as a resource for diverse human capacities from all over the world.  
Cost action can establish and reinforce collaborations between Europe and TCC countries.</t>
  </si>
  <si>
    <t>ronald.hochreiter@wu.ac.at</t>
  </si>
  <si>
    <t>Austria</t>
  </si>
  <si>
    <t>Anything else useful for the COST Action, not mentioned below, An edited volume containing scientific achievements of the Action</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</si>
  <si>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Disseminate the results of the Action's activities to the scientific community, European institutions and to the general public.</t>
  </si>
  <si>
    <t>aivanisev@net.efzg.hr</t>
  </si>
  <si>
    <t>Croatia</t>
  </si>
  <si>
    <t>Anything else useful for the COST Action, not mentioned below</t>
  </si>
  <si>
    <t>Anything else useful and related to the below topics, Create an excellent network of researchers in Europe with lasting collaboration beyond the lifetime of the Action., Bridging the gap between practitioners from the finance industry, academics and regulators by setting up a common knowledge exchange platform., Disseminate the results of the Action's activities to the scientific community, European institutions and to the general public.</t>
  </si>
  <si>
    <t>WG 1, WG 3</t>
  </si>
  <si>
    <t>Organisation of a conference related to COST FinAI topics of interest, which has served as a knowledge exchange platform between researchers, practitioners and regulators</t>
  </si>
  <si>
    <t>svlahjeric@gmail.com</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</si>
  <si>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t>
  </si>
  <si>
    <t>georgiou.i@unic.ac.cy</t>
  </si>
  <si>
    <t>Cyprus</t>
  </si>
  <si>
    <t>No, Anything else useful and related to the below topics,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Overcome the siloing of research topics by country and achieve geographical and demographical diversity, with special attention to COST Inclusiveness Target countries., Significantly improve the gender equality in the fields of the Action.</t>
  </si>
  <si>
    <t>petr.hajek@upce.cz</t>
  </si>
  <si>
    <t>Czech Republic</t>
  </si>
  <si>
    <t>luislore@ucm.es</t>
  </si>
  <si>
    <t>España</t>
  </si>
  <si>
    <t>A discussion paper for possible approaches to building a statistically valid back-testing framework</t>
  </si>
  <si>
    <t>Maximize the job opportunities for PhD students and Early Career Investigators., Disseminate the results of the Action's activities to the scientific community, European institutions and to the general public.</t>
  </si>
  <si>
    <t>laivi.laidroo@taltech.ee</t>
  </si>
  <si>
    <t>Estonia</t>
  </si>
  <si>
    <t>innar.liiv@taltech.ee</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</si>
  <si>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</si>
  <si>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WG 3</t>
  </si>
  <si>
    <t>Published a book, COST action is mentioned: https://link.springer.com/book/10.1007/978-981-16-2418-6</t>
  </si>
  <si>
    <t>roman.matkovskyy@rennes-sb.com</t>
  </si>
  <si>
    <t>France</t>
  </si>
  <si>
    <t>A database which contains data on crowdfunding/P2P platform features useful for rating platform integrity and to predict fraud, A position paper and roadmap on mitigating risks connected with the increased use of digital assets</t>
  </si>
  <si>
    <t>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Disseminate the results of the Action's activities to the scientific community, European institutions and to the general public.</t>
  </si>
  <si>
    <t>WG 1, WG 2</t>
  </si>
  <si>
    <t xml:space="preserve">rather explanation of the previous points:
databases on KIVA
Paper:  Jalan, A., Matkovskyy, R., and Poti, V. (2022). "Shall the winning last? A study of recent bubbles and persistence." Finance Research Letters 45, 102162 
Bringing technological, quantitative and economic researchers... and dissemination : the cryptocurrency investment conference jointly with WG1 meeting at Rennes School of business, April 2022
Transfer knowledge in terms of expertise...: Can I put a round table and a panel on crypto and DeFi at AFFI conference in May 2022, Saint Malo?
Other : contribution to the network extension, mentioning our COST Actions in different meetings; joint supervision of a PhD student, </t>
  </si>
  <si>
    <t>elias.tsigaridas@inria.fr</t>
  </si>
  <si>
    <t>A database which contains pre-ICO documentation and post-ICO performance (ROI and, A database which contains data on crowdfunding/P2P platform features useful for rating platform integrity and to predict fraud, Report on good examples and best practices for a transparent finance industry with guidelines to improve transparency, An internal database of collected (scraped) financial time series from exchanges and regional consolidation platforms optimised for accessibility to all partners, Key software (codes, packages) developed by each of the Working Groups in line with their objectives</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</si>
  <si>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Pruning and improvement of the vast array of performance attribution models by contributing to the development of methodologies for reducing the false discovery rate in financial research and applied financial investment management.,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</si>
  <si>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haerdle@hu-berlin.de</t>
  </si>
  <si>
    <t>Germany</t>
  </si>
  <si>
    <t>Anything else useful for the COST Action, not mentioned below, A database which contains pre-ICO documentation and post-ICO performance (ROI and, Discussion papers (DP) on the methodology for evaluating/rating ICOs and crowdfunding/P2P platforms and for detection/early warning about fraud/illegal behaviour with emphasis on the application of AI tools, A position paper and roadmap on mitigating risks connected with the increased use of digital assets, A discussion paper for possible approaches to building a statistically valid back-testing framework, Position papers, aimed at regulators and policy-makers, on methodology (with examples of formal criteria) for testing AI techniques in real-time, An internal database of collected (scraped) financial time series from exchanges and regional consolidation platforms optimised for accessibility to all partners,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Key software (codes, packages) developed by each of the Working Groups in line with their objectives, Handbook and/or wiki page describing potential approaches to tackle risk management issues related to blockchain assets and crowdfunding/P2P lending, An edited volume containing scientific achievements of the Action</t>
  </si>
  <si>
    <t>Anything else useful and related to the below topics,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</si>
  <si>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allapetukhina@icloud.com</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</si>
  <si>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Maximize the job opportunities for PhD students and Early Career Investigators., Significantly improve the gender equality in the fields of the Action.</t>
  </si>
  <si>
    <t>Germany (Härdle)&amp;Romania(D Pele, V Strat): Quantinar start - P2P knowledge platform supported by FinAI</t>
  </si>
  <si>
    <t>veniarakelian@yahoo.com</t>
  </si>
  <si>
    <t>Greece</t>
  </si>
  <si>
    <t>A discussion paper for possible approaches to building a statistically valid back-testing framework,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</si>
  <si>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Create an excellent network of researchers in Europe with lasting collaboration beyond the lifetime of the Action.</t>
  </si>
  <si>
    <t>tolis.chal@gmail.com</t>
  </si>
  <si>
    <t>A position paper and roadmap on mitigating risks connected with the increased use of digital assets, Methodological discussion paper on the design of stress tests for the evaluation of AI and ML models under shifting financial conditions to improve the robustness of models</t>
  </si>
  <si>
    <t>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t>
  </si>
  <si>
    <t>Discussion papers (DP) on the methodology for evaluating/rating ICOs and crowdfunding/P2P platforms and for detection/early warning about fraud/illegal behaviour with emphasis on the application of AI tools, Methodological discussion paper on the design of stress tests for the evaluation of AI and ML models under shifting financial conditions to improve the robustness of models,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</si>
  <si>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t>
  </si>
  <si>
    <t>Close collaboration with Currency Research https://www.linkedin.com/company/currencyresearch/</t>
  </si>
  <si>
    <t>trimborn.econometrics@gmail.com</t>
  </si>
  <si>
    <t>Hong Kong</t>
  </si>
  <si>
    <t>Anything else useful for the COST Action, not mentioned below, Key software (codes, packages) developed by each of the Working Groups in line with their objectives</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</si>
  <si>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Create an excellent network of researchers in Europe with lasting collaboration beyond the lifetime of the Action.</t>
  </si>
  <si>
    <t>molnarba@inf.elte.hu</t>
  </si>
  <si>
    <t>Hungary</t>
  </si>
  <si>
    <t>The development of conceptual and methodological tools for establishing when blackbox models are admissible and, to the extent possible, making them more transparent and/or replacing them with interpretable and explainable models., Bridging the gap between practitioners from the finance industry, academics and regulators by setting up a common knowledge exchange platform., Significantly improve the gender equality in the fields of the Action.</t>
  </si>
  <si>
    <t>To receive input from regulators and practitioners' communities and to validate results with regard to increasing transparency of artificial intelligence applications., Disseminate to the public and share with regulators the results on investment product performance evaluation.,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</si>
  <si>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rupelnargunam25@gmail.com</t>
  </si>
  <si>
    <t>India</t>
  </si>
  <si>
    <t>A discussion paper on market risk modeling, analysis and management, contributing to the methodological discussion section on risk measures and time series approaches used to obtain forecasts of risk measures.</t>
  </si>
  <si>
    <t>Anything else useful and related to the below topics</t>
  </si>
  <si>
    <t>Presented research paper in Women in Fintech Conference organized by Fintech and Artificial Intelligence in Finance and European Cooperation in Science and Technology (COST), during 22nd - 23rd September 2021.</t>
  </si>
  <si>
    <t>valerio.poti@ucd.ie</t>
  </si>
  <si>
    <t>Ireland</t>
  </si>
  <si>
    <t>A discussion paper for possible approaches to building a statistically valid back-testing framework, Methodological discussion paper on the design of stress tests for the evaluation of AI and ML models under shifting financial conditions to improve the robustness of models, Key software (codes, packages) developed by each of the Working Groups in line with their objectives</t>
  </si>
  <si>
    <t>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 Significantly improve the gender equality in the fields of the Action.</t>
  </si>
  <si>
    <t>vassilios.papavassiliou@ucd.ie</t>
  </si>
  <si>
    <t>A discussion paper on sovereign bond return predictability using machine learning methods</t>
  </si>
  <si>
    <t>Disseminate to the public and share with regulators the results on investment product performance evaluation., Disseminate the results of the Action's activities to the scientific community, European institutions and to the general public.</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</si>
  <si>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Pruning and improvement of the vast array of performance attribution models by contributing to the development of methodologies for reducing the false discovery rate in financial research and applied financial investment management., Disseminate the results of the Action's activities to the scientific community, European institutions and to the general public., Significantly improve the gender equality in the fields of the Action.</t>
  </si>
  <si>
    <t>alessandra.tanda@unipv.it</t>
  </si>
  <si>
    <t>Italy</t>
  </si>
  <si>
    <t>Anything else useful for the COST Action, not mentioned below, An internal database of collected (scraped) financial time series from exchanges and regional consolidation platforms optimised for accessibility to all partners, Strategy to engage stakeholders in the Action (including revisions in month 24 and 36)</t>
  </si>
  <si>
    <t>Disseminate to the public and share with regulators the results on investment product performance evaluation., Create an excellent network of researchers in Europe with lasting collaboration beyond the lifetime of the Action., Transfer knowledge in terms of expertise, scientific tools and human resources across the different disciplines and between academia and industry., Maximize the job opportunities for PhD students and Early Career Investigators., Significantly improve the gender equality in the fields of the Action.</t>
  </si>
  <si>
    <t>daniele.marazzina@polimi.it</t>
  </si>
  <si>
    <t>Anything else useful for the COST Action, not mentioned below, A database which contains pre-ICO documentation and post-ICO performance (ROI and, A database which contains data on crowdfunding/P2P platform features useful for rating platform integrity and to predict fraud</t>
  </si>
  <si>
    <t>Create an excellent network of researchers in Europe with lasting collaboration beyond the lifetime of the Action., Transfer knowledge in terms of expertise, scientific tools and human resources across the different disciplines and between academia and industry., Disseminate the results of the Action's activities to the scientific community, European institutions and to the general public., Significantly improve the gender equality in the fields of the Action.</t>
  </si>
  <si>
    <t>Anything else useful and related to the below topics, Create an excellent network of researchers in Europe with lasting collaboration beyond the lifetime of the Action., Bridging the gap between practitioners from the finance industry, academics and regulators by setting up a common knowledge exchange platform.,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</si>
  <si>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maria.iannario@unina.it</t>
  </si>
  <si>
    <t>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</si>
  <si>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Women in Fintech Datathon is a data mining event (data analysis) organized by the Women in Fintech Conference Committee represented by several researchers of the Cost Action FinAI CA19130, University of Tirana and University of Naples Federico II (for more details, please see the following link: https://fin-ai.eu/datathon/). It aims to promote the analysis of data on the goals of the Women in Fintech II Conference, and more general in the field of the FinAI Action. Among the main topics to be developed by means of (open access and real) data analysis: Gender diversity in Fintech corporate world, Fintech gender diversity in different EU countries, Gender pay gap in Fintech roles. It involves teams from every European country. The team should be made up of maximum 5 members (male or female), which can be enrolled in bachelor, master or PhD programmes. High-performing teams are composed of individuals with specialized expertise and complementary skills. It creates cooperation and improves qualification of next generation.</t>
  </si>
  <si>
    <t>rr@lu.lv</t>
  </si>
  <si>
    <t>Latvia</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</si>
  <si>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Prepare competitive European researchers for a fruitful career in an international environment through intensive use of Short Term Scientific Missions (STSM) and joint educational programs with industrial partners., Disseminate the results of the Action's activities to the scientific community, European institutions and to the general public.</t>
  </si>
  <si>
    <t>audkaba@ktu.lt</t>
  </si>
  <si>
    <t>Lithuania</t>
  </si>
  <si>
    <t>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t>
  </si>
  <si>
    <t>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Disseminate the results of the Action's activities to the scientific community, European institutions and to the general public.</t>
  </si>
  <si>
    <t>kristina.sutiene@ktu.lt</t>
  </si>
  <si>
    <t>Report on good examples and best practices for a transparent finance industry with guidelines to improve transparency</t>
  </si>
  <si>
    <t>A reviewer in TINFIN conference https://sites.google.com/net.efzg.hr/tinfinconference/home/programme-committee</t>
  </si>
  <si>
    <t>Methodological discussion paper on the design of stress tests for the evaluation of AI and ML models under shifting financial conditions to improve the robustness of models, Report on good examples and best practices for a transparent finance industry with guidelines to improve transparency</t>
  </si>
  <si>
    <t>The development of conceptual and methodological tools for establishing when blackbox models are admissible and, to the extent possible, making them more transparent and/or replacing them with interpretable and explainable models.,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Prepare competitive European researchers for a fruitful career in an international environment through intensive use of Short Term Scientific Missions (STSM) and joint educational programs with industrial partners., Disseminate the results of the Action's activities to the scientific community, European institutions and to the general public.</t>
  </si>
  <si>
    <t>Network expansion performed</t>
  </si>
  <si>
    <t>angele@acrosslimits.com</t>
  </si>
  <si>
    <t>Malta</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</si>
  <si>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t>
  </si>
  <si>
    <t>We are trying to form consortia for various European proposals for funding and involving other partners of the Cost Action</t>
  </si>
  <si>
    <t>dbevan@stmartins.edu</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</si>
  <si>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</si>
  <si>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1. Significant contribution in 2022 through publication and conference presentations (ISBEE July 2022) to making academic / professional business-ethics community aware of prevalent current ethical attitudes (and discourses/contexts) operating in the Fintech community with particular reference to  (i) the potentially dysfunctional application of 'black box' amorality and as contrasted with the complexity  (ii) 'all tech is human'.
2. Acting as deputy network co-ordinator to support the continuing energy in the Action and both its longevity and interdisciplinary interactions, by improving professional and scholarly understanding and communication of AI ethics.</t>
  </si>
  <si>
    <t>lameski@finki.ukim.mk</t>
  </si>
  <si>
    <t>N. Macedonia</t>
  </si>
  <si>
    <t>Discussion papers (DP) on the methodology for evaluating/rating ICOs and crowdfunding/P2P platforms and for detection/early warning about fraud/illegal behaviour with emphasis on the application of AI tools, A position paper and roadmap on mitigating risks connected with the increased use of digital assets, A discussion paper for possible approaches to building a statistically valid back-testing framework, Position papers, aimed at regulators and policy-makers, on methodology (with examples of formal criteria) for testing AI techniques in real-time, Report on good examples and best practices for a transparent finance industry with guidelines to improve transparency</t>
  </si>
  <si>
    <t>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t>
  </si>
  <si>
    <t>r.j.kleverlaan@uu.nl</t>
  </si>
  <si>
    <t>Netherlands</t>
  </si>
  <si>
    <t>Anything else useful for the COST Action, not mentioned below, Strategy to engage stakeholders in the Action (including revisions in month 24 and 36)</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</si>
  <si>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</si>
  <si>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olivijaf@gmail.com</t>
  </si>
  <si>
    <t>North Macedonia</t>
  </si>
  <si>
    <t>To receive input from regulators and practitioners' communities and to validate results with regard to increasing transparency of artificial intelligence applications., Create an excellent network of researchers in Europe with lasting collaboration beyond the lifetime of the Action., Bridging the gap between practitioners from the finance industry, academics and regulators by setting up a common knowledge exchange platform.,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</si>
  <si>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rita.pimentel@ntnu.no</t>
  </si>
  <si>
    <t>Norway</t>
  </si>
  <si>
    <t>Position papers, aimed at regulators and policy-makers, on methodology (with examples of formal criteria) for testing AI techniques in real-time</t>
  </si>
  <si>
    <t>Create an excellent network of researchers in Europe with lasting collaboration beyond the lifetime of the Action., Significantly improve the gender equality in the fields of the Action.</t>
  </si>
  <si>
    <t>kbolesta96@gmail.com</t>
  </si>
  <si>
    <t>Poland</t>
  </si>
  <si>
    <t>Anything else useful for the COST Action, not mentioned below,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Strategy to engage stakeholders in the Action (including revisions in month 24 and 36)</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</si>
  <si>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Significantly improve the gender equality in the fields of the Action.</t>
  </si>
  <si>
    <t>pwojcik@wne.uw.edu.pl</t>
  </si>
  <si>
    <t>Anything else useful for the COST Action, not mentioned below, Discussion papers (DP) on the methodology for evaluating/rating ICOs and crowdfunding/P2P platforms and for detection/early warning about fraud/illegal behaviour with emphasis on the application of AI tools</t>
  </si>
  <si>
    <t>The development of conceptual and methodological tools for establishing when blackbox models are admissible and, to the extent possible, making them more transparent and/or replacing them with interpretable and explainable models., Transfer knowledge in terms of expertise, scientific tools and human resources across the different disciplines and between academia and industry., Disseminate the results of the Action's activities to the scientific community, European institutions and to the general public., Significantly improve the gender equality in the fields of the Action.</t>
  </si>
  <si>
    <t>WG 2, WG 3</t>
  </si>
  <si>
    <t>catarina@dei.uc.pt</t>
  </si>
  <si>
    <t>Portugal</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</si>
  <si>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Disseminate the results of the Action's activities to the scientific community, European institutions and to the general public.</t>
  </si>
  <si>
    <t>Create an excellent network of researchers in Europe with lasting collaboration beyond the lifetime of the Action., Disseminate the results of the Action's activities to the scientific community, European institutions and to the general public.</t>
  </si>
  <si>
    <t>albulena.shala@uni-pr.edu</t>
  </si>
  <si>
    <t>Republic of Kosovo</t>
  </si>
  <si>
    <t>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Prepare competitive European researchers for a fruitful career in an international environment through intensive use of Short Term Scientific Missions (STSM) and joint educational programs with industrial partners., Significantly improve the gender equality in the fields of the Action.</t>
  </si>
  <si>
    <t>Thank you for this excellent opportunity. We have created new opportunities for collaboration with colleagues from other countries, new knowledge and practices. I hope that Kosovo will be a part of COST action one day.</t>
  </si>
  <si>
    <t>coita.iflorina@gmail.com</t>
  </si>
  <si>
    <t>Romania</t>
  </si>
  <si>
    <t>Discussion papers (DP) on the methodology for evaluating/rating ICOs and crowdfunding/P2P platforms and for detection/early warning about fraud/illegal behaviour with emphasis on the application of AI tools, An internal database of collected (scraped) financial time series from exchanges and regional consolidation platforms optimised for accessibility to all partners,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</si>
  <si>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 Significantly improve the gender equality in the fields of the Action.</t>
  </si>
  <si>
    <t>writing joint papers and European funded projects</t>
  </si>
  <si>
    <t>stefana.cioban@ubbcluj.ro</t>
  </si>
  <si>
    <t>Key software (codes, packages) developed by each of the Working Groups in line with their objectives</t>
  </si>
  <si>
    <t>Create an excellent network of researchers in Europe with lasting collaboration beyond the lifetime of the Action.,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</si>
  <si>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So far, I have contributed to the literature review on sentiment analysis in finance within the Working Group 2, with focus on the Romanian and English languages. Also, I have co-authored the paper "Is Trust a Valid Indicator of Tax Compliance Behaviour? A Study on Taxpayers’ Public Perception Using Sentiment Analysis Tool" which was presented in the 4th International Conference on Economics and Social Sciences and published in the corresponding Conference Proceedings volume.</t>
  </si>
  <si>
    <t>codruta.mare@gmail.com</t>
  </si>
  <si>
    <t>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 Four annual reports (for lay audience) distributed via local and national media, Key software (codes, packages) developed by each of the Working Groups in line with their objectives, Strategy to engage stakeholders in the Action (including revisions in month 24 and 36)</t>
  </si>
  <si>
    <t>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</si>
  <si>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Yes, applications for joint research with FinTech sector</t>
  </si>
  <si>
    <t>First national report on the Romanian FinTech sector</t>
  </si>
  <si>
    <t>Cooperation with stakeholders for research applications, First Romanian FinTech Sector report, adding new members to the Action, co-authored papers, supervision of deliverables</t>
  </si>
  <si>
    <t>danpele@ase.ro</t>
  </si>
  <si>
    <t>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t>
  </si>
  <si>
    <t>ciprian.sipos@e-uvt.ro</t>
  </si>
  <si>
    <t>Anything else useful for the COST Action, not mentioned below, A database which contains pre-ICO documentation and post-ICO performance (ROI and, 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A position paper and roadmap on mitigating risks connected with the increased use of digital assets, A discussion paper for possible approaches to building a statistically valid back-testing framework, Methodological discussion paper on the design of stress tests for the evaluation of AI and ML models under shifting financial conditions to improve the robustness of models, Position papers, aimed at regulators and policy-makers, on methodology (with examples of formal criteria) for testing AI techniques in real-time, Report on good examples and best practices for a transparent finance industry with guidelines to improve transparency, An internal database of collected (scraped) financial time series from exchanges and regional consolidation platforms optimised for accessibility to all partners,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Four annual reports (for lay audience) distributed via local and national media, Key software (codes, packages) developed by each of the Working Groups in line with their objectives, Handbook and/or wiki page describing potential approaches to tackle risk management issues related to blockchain assets and crowdfunding/P2P lending, An edited volume containing scientific achievements of the Action, Strategy to engage stakeholders in the Action (including revisions in month 24 and 36)</t>
  </si>
  <si>
    <t>Anything else useful and related to the below topics, 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</si>
  <si>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 Key software (codes, packages) developed by each of the Working Groups in line with their objectives, Strategy to engage stakeholders in the Action (including revisions in month 24 and 36)</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</si>
  <si>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Transfer knowledge in terms of expertise, scientific tools and human resources across the different disciplines and between academia and industry., Overcome the siloing of research topics by country and achieve geographical and demographical diversity, with special attention to COST Inclusiveness Target countries.,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</si>
  <si>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Cooperation with Finech companies on developing AI tools for fraud detection</t>
  </si>
  <si>
    <t>miljan.vucetic@vlatacom.com</t>
  </si>
  <si>
    <t>Serbia</t>
  </si>
  <si>
    <t>Methodological discussion paper on the design of stress tests for the evaluation of AI and ML models under shifting financial conditions to improve the robustness of models,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</si>
  <si>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t>
  </si>
  <si>
    <t>denis.trcek@guest.arnes.si</t>
  </si>
  <si>
    <t>Slovenia</t>
  </si>
  <si>
    <t>Anything else useful and related to the below topics, The development of conceptual and methodological tools for establishing when blackbox models are admissible and, to the extent possible, making them more transparent and/or replacing them with interpretable and explainable models.</t>
  </si>
  <si>
    <t>Thank you for all the excellent coordiantion of this large network.</t>
  </si>
  <si>
    <t>saso.karakatic@um.si</t>
  </si>
  <si>
    <t>The development of conceptual and methodological tools for establishing when blackbox models are admissible and, to the extent possible, making them more transparent and/or replacing them with interpretable and explainable models., Significantly improve the gender equality in the fields of the Action.</t>
  </si>
  <si>
    <t>javier.arroyo@fdi.ucm.es</t>
  </si>
  <si>
    <t>Spain</t>
  </si>
  <si>
    <t>No, The development of conceptual and methodological tools for establishing when blackbox models are admissible and, to the extent possible, making them more transparent and/or replacing them with interpretable and explainable models., Establish an inclusive community of researchers on methodological and technological themes in Machine Learning and Artificial Intelligence, to promote Early Career Investigators and increase their visibility.</t>
  </si>
  <si>
    <t>brankahm@gmail.com</t>
  </si>
  <si>
    <t>Switzerland</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</si>
  <si>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Key software (codes, packages) developed by each of the Working Groups in line with their objectives, An edited volume containing scientific achievements of the Action, Strategy to engage stakeholders in the Action (including revisions in month 24 and 36)</t>
  </si>
  <si>
    <t>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Disseminate the results of the Action's activities to the scientific community, European institutions and to the general public., Significantly improve the gender equality in the fields of the Action.</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</si>
  <si>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 Four annual reports (for lay audience) distributed via local and national media, Key software (codes, packages) developed by each of the Working Groups in line with their objectives, Handbook and/or wiki page describing potential approaches to tackle risk management issues related to blockchain assets and crowdfunding/P2P lending, An edited volume containing scientific achievements of the Action</t>
  </si>
  <si>
    <t>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 Significantly improve the gender equality in the fields of the Action.</t>
  </si>
  <si>
    <t>scwp@zhaw.ch</t>
  </si>
  <si>
    <t>CH</t>
  </si>
  <si>
    <t>Anything else useful for the COST Action, not mentioned below, A discussion paper for possible approaches to building a statistically valid back-testing framework, Report on good examples and best practices for a transparent finance industry with guidelines to improve transparency, Key software (codes, packages) developed by each of the Working Groups in line with their objectives</t>
  </si>
  <si>
    <t>Anything else useful and related to the below topics, The development of conceptual and methodological tools for establishing when blackbox models are admissible and, to the extent possible, making them more transparent and/or replacing them with interpretable and explainable models.,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Prepare competitive European researchers for a fruitful career in an international environment through intensive use of Short Term Scientific Missions (STSM) and joint educational programs with industrial partners., Maximize the job opportunities for PhD students and Early Career Investigators., Disseminate the results of the Action's activities to the scientific community, European institutions and to the general public.</t>
  </si>
  <si>
    <t xml:space="preserve">Papers acknowledging the action: 2 published in JFDS, 1 SUERF policy brief.
Special issue on MDPI Mathematics https://www.mdpi.com/journal/mathematics/special_issues/applications_mathematical_foundations_machine_learning_investments
Conferences acknowledging the action: three instances of the conference in Winterthur on AI in industry and finance (2020, 2021, 2022); special session at EURO2022 in July 2022 in Espoo and onsite WG3 and core group meeting in Espoo.
Contributed to summer training school in Constanta / Romania </t>
  </si>
  <si>
    <t>josterri@googlemail.com</t>
  </si>
  <si>
    <t>Strategy to engage stakeholders in the Action (including revisions in month 24 and 36)</t>
  </si>
  <si>
    <t>lbarjaktarovic@singidunum.ac.rs</t>
  </si>
  <si>
    <t>Report on good examples and best practices for a transparent finance industry with guidelines to improve transparency, Handbook and/or wiki page describing potential approaches to tackle risk management issues related to blockchain assets and crowdfunding/P2P lending, Strategy to engage stakeholders in the Action (including revisions in month 24 and 36)</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</si>
  <si>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Disseminate to the public and share with regulators the results on investment product performance evaluation., Create an excellent network of researchers in Europe with lasting collaboration beyond the lifetime of the Action., Maximize the job opportunities for PhD students and Early Career Investigators., Disseminate the results of the Action's activities to the scientific community, European institutions and to the general public.</t>
  </si>
  <si>
    <t xml:space="preserve">I have become independent supervisory board member of UniCredit Bank Serbia - Belgrade. </t>
  </si>
  <si>
    <t>No, Anything else useful for the COST Action, not mentioned below</t>
  </si>
  <si>
    <t>heb1@bfh.ch</t>
  </si>
  <si>
    <t xml:space="preserve">Switzerland </t>
  </si>
  <si>
    <t>A database which contains data on crowdfunding/P2P platform features useful for rating platform integrity and to predict fraud, Discussion papers (DP) on the methodology for evaluating/rating ICOs and crowdfunding/P2P platforms and for detection/early warning about fraud/illegal behaviour with emphasis on the application of AI tools,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</si>
  <si>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Disseminate the results of the Action's activities to the scientific community, European institutions and to the general public.</t>
  </si>
  <si>
    <t>belma.ozturkkal@khas.edu.tr</t>
  </si>
  <si>
    <t>Turkey</t>
  </si>
  <si>
    <t>Position papers, aimed at regulators and policy-makers, on methodology (with examples of formal criteria) for testing AI techniques in real-time,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</si>
  <si>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Disseminate the results of the Action's activities to the scientific community, European institutions and to the general public., Significantly improve the gender equality in the fields of the Action.</t>
  </si>
  <si>
    <t>etalasli@selcuk.edu.tr</t>
  </si>
  <si>
    <t>Disseminate the results of the Action's activities to the scientific community, European institutions and to the general public., Significantly improve the gender equality in the fields of the Action.</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</si>
  <si>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To receive input from regulators and practitioners' communities and to validate results with regard to increasing transparency of artificial intelligence applications., Disseminate to the public and share with regulators the results on investment product performance evaluation., Create an excellent network of researchers in Europe with lasting collaboration beyond the lifetime of the Action.,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Maximize the job opportunities for PhD students and Early Career Investigators., Disseminate the results of the Action's activities to the scientific community, European institutions and to the general public., Significantly improve the gender equality in the fields of the Action.</t>
  </si>
  <si>
    <t>Discussion papers (DP) on the methodology for evaluating/rating ICOs and crowdfunding/P2P platforms and for detection/early warning about fraud/illegal behaviour with emphasis on the application of AI tools, A discussion paper for possible approaches to building a statistically valid back-testing framework, Methodological discussion paper on the design of stress tests for the evaluation of AI and ML models under shifting financial conditions to improve the robustness of models, Report on good examples and best practices for a transparent finance industry with guidelines to improve transparency</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</si>
  <si>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Creation of the first European platform comparing the out-of-sample performance of banks' investment products, insurance-linked investment products and asset management products available to the general public.,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Overcome the siloing of research topics by country and achieve geographical and demographical diversity, with special attention to COST Inclusiveness Target countries., Prepare competitive European researchers for a fruitful career in an international environment through intensive use of Short Term Scientific Missions (STSM) and joint educational programs with industrial partners., Disseminate the results of the Action's activities to the scientific community, European institutions and to the general public., Significantly improve the gender equality in the fields of the Action.</t>
  </si>
  <si>
    <t>luciana.dallavalle@plymouth.ac.uk</t>
  </si>
  <si>
    <t>United Kingdom</t>
  </si>
  <si>
    <t>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Overcome the siloing of research topics by country and achieve geographical and demographical diversity, with special attention to COST Inclusiveness Target countries., Significantly improve the gender equality in the fields of the Action.</t>
  </si>
  <si>
    <t>a.zalewska@bath.ac.uk</t>
  </si>
  <si>
    <t>Anything else useful for the COST Action, not mentioned below, A position paper and roadmap on mitigating risks connected with the increased use of digital assets</t>
  </si>
  <si>
    <t>Anything else useful and related to the below topics, Transfer knowledge in terms of expertise, scientific tools and human resources across the different disciplines and between academia and industry., Disseminate the results of the Action's activities to the scientific community, European institutions and to the general public.</t>
  </si>
  <si>
    <t>CathyYi-Hsuan.Chen@glasgow.ac.uk</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</si>
  <si>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Create an excellent network of researchers in Europe with lasting collaboration beyond the lifetime of the Action., Bridging the gap between practitioners from the finance industry, academics and regulators by setting up a common knowledge exchange platform.</t>
  </si>
  <si>
    <t>sam.goundar@gmail.com</t>
  </si>
  <si>
    <t>Vietnam</t>
  </si>
  <si>
    <t>Discussion papers (DP) on the methodology for evaluating/rating ICOs and crowdfunding/P2P platforms and for detection/early warning about fraud/illegal behaviour with emphasis on the application of AI tools,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 Handbook and/or wiki page describing potential approaches to tackle risk management issues related to blockchain assets and crowdfunding/P2P lending</t>
  </si>
  <si>
    <t>No,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Maximize the job opportunities for PhD students and Early Career Investigators., Significantly improve the gender equality in the fields of the Action.</t>
  </si>
  <si>
    <t>Methodological discussion paper on the design of stress tests for the evaluation of AI and ML models under shifting financial conditions to improve the robustness of models, Key software (codes, packages) developed by each of the Working Groups in line with their objectives</t>
  </si>
  <si>
    <t>To develop blended approaches to evaluate innovative financial services and their providers, especially in the FinTech domain, building on Machine Learning methods, focussing on prediction (early warning) of operational fragility, fraudulent and illegal behaviour ranging from appropriation of loaned funds to money-laundering activities., The development of conceptual and methodological tools for establishing when blackbox models are admissible and, to the extent possible, making them more transparent and/or replacing them with interpretable and explainable models., To receive input from regulators and practitioners' communities and to validate results with regard to increasing transparency of artificial intelligence applications., Pruning and improvement of the vast array of performance attribution models by contributing to the development of methodologies for reducing the false discovery rate in financial research and applied financial investment management., Disseminate to the public and share with regulators the results on investment product performance evaluation., Create an excellent network of researchers in Europe with lasting collaboration beyond the lifetime of the Action., Bringing technological, quantitative and economic researchers together, to tackle future research that can only be done in an interdisciplinary setting, and getting actively involved in the blockchain and FinTech communities across Europe, to constantly monitor developments, get input and disseminate results.,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 Disseminate the results of the Action's activities to the scientific community, European institutions and to the general public.</t>
  </si>
  <si>
    <t>baalsl@tcd.ie</t>
  </si>
  <si>
    <t>A discussion paper raising new research ideas on the financial economics of non-fungible token (NFT) in form of a research agenda</t>
  </si>
  <si>
    <t>WG1, WG3</t>
  </si>
  <si>
    <t>COUNTA of Email address</t>
  </si>
  <si>
    <t>Grand Total</t>
  </si>
  <si>
    <t>Responded to GP1 GP2 report</t>
  </si>
  <si>
    <t>Belgium</t>
  </si>
  <si>
    <t>Bosnia and Herzegovina</t>
  </si>
  <si>
    <t>Bulgaria</t>
  </si>
  <si>
    <t>Denmark</t>
  </si>
  <si>
    <t>Finland</t>
  </si>
  <si>
    <t>Georgia</t>
  </si>
  <si>
    <t>Iceland</t>
  </si>
  <si>
    <t>Luxembourg</t>
  </si>
  <si>
    <t>Moldova</t>
  </si>
  <si>
    <t>Montenegro</t>
  </si>
  <si>
    <t>Slovakia</t>
  </si>
  <si>
    <t>Sweden</t>
  </si>
  <si>
    <t xml:space="preserve">COST FinAI </t>
  </si>
  <si>
    <t>Last Name</t>
  </si>
  <si>
    <t>Email</t>
  </si>
  <si>
    <t>Country</t>
  </si>
  <si>
    <t>MC Membership Status</t>
  </si>
  <si>
    <t>responded to GP 1 and GP 2 Progress report</t>
  </si>
  <si>
    <t>Petraq</t>
  </si>
  <si>
    <t>Papajorgji</t>
  </si>
  <si>
    <t>petraq@gmail.com</t>
  </si>
  <si>
    <t>Albania (AL)</t>
  </si>
  <si>
    <t>not nominated</t>
  </si>
  <si>
    <t>Altin</t>
  </si>
  <si>
    <t>Idrizi</t>
  </si>
  <si>
    <t>altin.idrizi@uniel.edu.al</t>
  </si>
  <si>
    <t>Endrit</t>
  </si>
  <si>
    <t>Xhina</t>
  </si>
  <si>
    <t>endri.xhina@fshn.edu.al</t>
  </si>
  <si>
    <t>Rezarta</t>
  </si>
  <si>
    <t>Shkurti (Perri)</t>
  </si>
  <si>
    <t>rezartaperri@feut.edu.al</t>
  </si>
  <si>
    <t>Member</t>
  </si>
  <si>
    <t>Ardita</t>
  </si>
  <si>
    <t>Todri</t>
  </si>
  <si>
    <t>ardita.todri@gmail.com</t>
  </si>
  <si>
    <t>Suela</t>
  </si>
  <si>
    <t>Maxhelaku</t>
  </si>
  <si>
    <t>suela.maxhelaku@fshn.edu.al</t>
  </si>
  <si>
    <t>Giovanni</t>
  </si>
  <si>
    <t>Lagioia</t>
  </si>
  <si>
    <t>giovanni.lagioia@uniba.it</t>
  </si>
  <si>
    <t>Elda</t>
  </si>
  <si>
    <t>Xhumari</t>
  </si>
  <si>
    <t>eldaxhumari@gmail.com</t>
  </si>
  <si>
    <t>Eliona</t>
  </si>
  <si>
    <t>Gremi</t>
  </si>
  <si>
    <t>Eliona.Gremi@uniel.edu.al</t>
  </si>
  <si>
    <t>LLESH</t>
  </si>
  <si>
    <t>LLESHAJ</t>
  </si>
  <si>
    <t>Valbona</t>
  </si>
  <si>
    <t>Ballkoci</t>
  </si>
  <si>
    <t>valbona.ballkoci@uniel.edu.al</t>
  </si>
  <si>
    <t>Anila</t>
  </si>
  <si>
    <t>Çekrezi</t>
  </si>
  <si>
    <t>vocianila@yahoo.com</t>
  </si>
  <si>
    <t>Chemseddine</t>
  </si>
  <si>
    <t>TIDJANI</t>
  </si>
  <si>
    <t>Algeria (DZ)</t>
  </si>
  <si>
    <t>Ronald</t>
  </si>
  <si>
    <t>Hochreiter</t>
  </si>
  <si>
    <t>Austria (AT)</t>
  </si>
  <si>
    <t>Christian</t>
  </si>
  <si>
    <t>Ochs</t>
  </si>
  <si>
    <t>christian.ochs@fincredible.at</t>
  </si>
  <si>
    <t>Hafner</t>
  </si>
  <si>
    <t>christian.hafner@uclouvain.be</t>
  </si>
  <si>
    <t>Belgium (BE)</t>
  </si>
  <si>
    <t>Igor</t>
  </si>
  <si>
    <t>Todorović</t>
  </si>
  <si>
    <t>igor.todorovic@ef.unibl.org</t>
  </si>
  <si>
    <t>Bosnia and Herzegovina (BA)</t>
  </si>
  <si>
    <t>Jelena</t>
  </si>
  <si>
    <t>Poljašević</t>
  </si>
  <si>
    <t>jelena.poljasevic@ef.unibl.org</t>
  </si>
  <si>
    <t>Rossitza</t>
  </si>
  <si>
    <t>Goleva</t>
  </si>
  <si>
    <t>rgoleva@gmail.com</t>
  </si>
  <si>
    <t>Bulgaria (BG)</t>
  </si>
  <si>
    <t>Stoyan</t>
  </si>
  <si>
    <t>Mishev</t>
  </si>
  <si>
    <t>stoyan.mishev@iaps.institute</t>
  </si>
  <si>
    <t>Yassen</t>
  </si>
  <si>
    <t>Gorbounov</t>
  </si>
  <si>
    <t>ygorbounov@nbu.bg</t>
  </si>
  <si>
    <t xml:space="preserve">Hristina </t>
  </si>
  <si>
    <t xml:space="preserve">Kostadinova </t>
  </si>
  <si>
    <t xml:space="preserve">hkostadinova@gmail.com
</t>
  </si>
  <si>
    <t>Silvija</t>
  </si>
  <si>
    <t>Vlah Jerić</t>
  </si>
  <si>
    <t>svlah@net.efzg.hr</t>
  </si>
  <si>
    <t>Croatia (HR)</t>
  </si>
  <si>
    <t>Nika</t>
  </si>
  <si>
    <t>Šimurina</t>
  </si>
  <si>
    <t>nsimurina@efzg.hr</t>
  </si>
  <si>
    <t>Martina</t>
  </si>
  <si>
    <t>Solenički</t>
  </si>
  <si>
    <t>mnakic@efzg.hr</t>
  </si>
  <si>
    <t>Ana</t>
  </si>
  <si>
    <t>Ivanisevic Hernaus</t>
  </si>
  <si>
    <t>ana.ivanisevic@efzg.hr</t>
  </si>
  <si>
    <t>Domagoj</t>
  </si>
  <si>
    <t>Sajter</t>
  </si>
  <si>
    <t>domagoj.sajter+cost@gmail.com</t>
  </si>
  <si>
    <t>Mile</t>
  </si>
  <si>
    <t>Bošnjak</t>
  </si>
  <si>
    <t>mile.bosnjak76@gmail.com</t>
  </si>
  <si>
    <t>Andreas</t>
  </si>
  <si>
    <t>Gregoriades</t>
  </si>
  <si>
    <t>andreas.gregoriades@cut.ac.cy</t>
  </si>
  <si>
    <t>Cyprus (CY)</t>
  </si>
  <si>
    <t>Loizos</t>
  </si>
  <si>
    <t>Michael</t>
  </si>
  <si>
    <t>loizos@ouc.ac.cy</t>
  </si>
  <si>
    <t>Ifigenia</t>
  </si>
  <si>
    <t>Georgiou</t>
  </si>
  <si>
    <t>Oleg</t>
  </si>
  <si>
    <t>Deev</t>
  </si>
  <si>
    <t>oleg@mail.muni.cz</t>
  </si>
  <si>
    <t>Czech Republic (CZ)</t>
  </si>
  <si>
    <t>Dagmar</t>
  </si>
  <si>
    <t>Vagnerova Linnertova</t>
  </si>
  <si>
    <t>dagmar.linnertova@mail.muni.cz</t>
  </si>
  <si>
    <t>Petr</t>
  </si>
  <si>
    <t>Hajek</t>
  </si>
  <si>
    <t>Ladislav</t>
  </si>
  <si>
    <t>Krištoufek</t>
  </si>
  <si>
    <t>LK@fsv.cuni.cz</t>
  </si>
  <si>
    <t>Jan</t>
  </si>
  <si>
    <t>Vlachy</t>
  </si>
  <si>
    <t>jan.vlachy@vscht.cz</t>
  </si>
  <si>
    <t>Maria Dolores</t>
  </si>
  <si>
    <t>Romero Morales</t>
  </si>
  <si>
    <t>drm.eco@cbs.dk</t>
  </si>
  <si>
    <t>Denmark (DK)</t>
  </si>
  <si>
    <t>Alexandros</t>
  </si>
  <si>
    <t>Iosifidis</t>
  </si>
  <si>
    <t>ai@ece.au.dk</t>
  </si>
  <si>
    <t>Innar</t>
  </si>
  <si>
    <t>Liiv</t>
  </si>
  <si>
    <t>innar.liiv@ttu.ee</t>
  </si>
  <si>
    <t>Estonia (EE)</t>
  </si>
  <si>
    <t>Jaan</t>
  </si>
  <si>
    <t>Übi</t>
  </si>
  <si>
    <t>jaan.ubi@ut.ee</t>
  </si>
  <si>
    <t>Laivi</t>
  </si>
  <si>
    <t>Laidroo</t>
  </si>
  <si>
    <t>Susanne</t>
  </si>
  <si>
    <t>Durst</t>
  </si>
  <si>
    <t>susanne.durst@taltech.ee</t>
  </si>
  <si>
    <t>Esteban</t>
  </si>
  <si>
    <t>Guerrero</t>
  </si>
  <si>
    <t>esteban.guerrero@uwasa.fi</t>
  </si>
  <si>
    <t>Finland (FI)</t>
  </si>
  <si>
    <t>Agnes</t>
  </si>
  <si>
    <t>Guerraz</t>
  </si>
  <si>
    <t>agnes.guerraz@skopai.com</t>
  </si>
  <si>
    <t>France (FR)</t>
  </si>
  <si>
    <t>Emmanuel</t>
  </si>
  <si>
    <t>EYIAH-DONKOR</t>
  </si>
  <si>
    <t>emmanuel.eyiah-donkor@rennes-sb.com</t>
  </si>
  <si>
    <t>Roman</t>
  </si>
  <si>
    <t>Matkovsky</t>
  </si>
  <si>
    <t>Galena</t>
  </si>
  <si>
    <t>Pisoni</t>
  </si>
  <si>
    <t>galena.pisoni@gmail.com</t>
  </si>
  <si>
    <t>Marianna</t>
  </si>
  <si>
    <t>Russo</t>
  </si>
  <si>
    <t>marianna.russo@neoma-bs.fr</t>
  </si>
  <si>
    <t>Akanksha</t>
  </si>
  <si>
    <t>Jalan</t>
  </si>
  <si>
    <t>akanksha.jalan@rennes-sb.com</t>
  </si>
  <si>
    <t>Alexandre</t>
  </si>
  <si>
    <t>Boulenger</t>
  </si>
  <si>
    <t>alexandre.boulenger@gmail.com</t>
  </si>
  <si>
    <t>Alla</t>
  </si>
  <si>
    <t>Petukhina</t>
  </si>
  <si>
    <t>Germany (DE)</t>
  </si>
  <si>
    <t>Wolfgang</t>
  </si>
  <si>
    <t>Härdle</t>
  </si>
  <si>
    <t>Natalie</t>
  </si>
  <si>
    <t>Packham</t>
  </si>
  <si>
    <t>packham@hwr-berlin.de</t>
  </si>
  <si>
    <t>Danial</t>
  </si>
  <si>
    <t>Saef</t>
  </si>
  <si>
    <t>danial.saef@hu-berlin.de</t>
  </si>
  <si>
    <t>Rui</t>
  </si>
  <si>
    <t>Ren</t>
  </si>
  <si>
    <t>rui.ren@hu-berlin.de</t>
  </si>
  <si>
    <t>Min-Bin</t>
  </si>
  <si>
    <t>Lin</t>
  </si>
  <si>
    <t>min-bin.lin@hu-berlin.de</t>
  </si>
  <si>
    <t>Ioannis</t>
  </si>
  <si>
    <t>Emiris</t>
  </si>
  <si>
    <t>emiris@di.uoa.gr</t>
  </si>
  <si>
    <t>Greece (EL)</t>
  </si>
  <si>
    <t>Veni</t>
  </si>
  <si>
    <t>Arakelian</t>
  </si>
  <si>
    <t>Vasiliki</t>
  </si>
  <si>
    <t>Skintzi</t>
  </si>
  <si>
    <t>vikiski@uop.gr</t>
  </si>
  <si>
    <t>Thomas</t>
  </si>
  <si>
    <t>DASAKLIS</t>
  </si>
  <si>
    <t>dasaklis@unipi.gr</t>
  </si>
  <si>
    <t>Apostolos</t>
  </si>
  <si>
    <t>Chalkis</t>
  </si>
  <si>
    <t>Paraskevi</t>
  </si>
  <si>
    <t>Tsoutsa</t>
  </si>
  <si>
    <t>tsoutsa@teilar.gr</t>
  </si>
  <si>
    <t>Anh Tuan</t>
  </si>
  <si>
    <t>Trinh</t>
  </si>
  <si>
    <t>trinhanhtuan247@gmail.com</t>
  </si>
  <si>
    <t>Hungary (HU)</t>
  </si>
  <si>
    <t>Anita</t>
  </si>
  <si>
    <t>Pelle</t>
  </si>
  <si>
    <t>pelle@eco.u-szeged.hu</t>
  </si>
  <si>
    <t>Bálint</t>
  </si>
  <si>
    <t>Molnár</t>
  </si>
  <si>
    <t>substitute MC member</t>
  </si>
  <si>
    <t>Meriem</t>
  </si>
  <si>
    <t>Kherbouche</t>
  </si>
  <si>
    <t>meriemkherbouche@inf.elte.hu</t>
  </si>
  <si>
    <t xml:space="preserve">Rita </t>
  </si>
  <si>
    <t>Bán</t>
  </si>
  <si>
    <t>banbernadett@inf.elte.hu</t>
  </si>
  <si>
    <t>Mohammad</t>
  </si>
  <si>
    <t>Hamdaqa</t>
  </si>
  <si>
    <t>mhamdaqa@ru.is</t>
  </si>
  <si>
    <t>Iceland (IS)</t>
  </si>
  <si>
    <t>Hanna Kristín</t>
  </si>
  <si>
    <t>Skaftadóttir</t>
  </si>
  <si>
    <t>hks7@hi.is</t>
  </si>
  <si>
    <t>María</t>
  </si>
  <si>
    <t>Óskarsdóttir</t>
  </si>
  <si>
    <t>mariaoskars@ru.is</t>
  </si>
  <si>
    <t>Rupel</t>
  </si>
  <si>
    <t>Nargunam</t>
  </si>
  <si>
    <t>India (IN)</t>
  </si>
  <si>
    <t>Valerio</t>
  </si>
  <si>
    <t>Poti</t>
  </si>
  <si>
    <t>Ireland (IE)</t>
  </si>
  <si>
    <t>Maria</t>
  </si>
  <si>
    <t>Moloney</t>
  </si>
  <si>
    <t>maria.moloney@ucd.ie</t>
  </si>
  <si>
    <t>Don</t>
  </si>
  <si>
    <t>Bredin</t>
  </si>
  <si>
    <t>don.bredin@ucd.ie</t>
  </si>
  <si>
    <t>Vassilios</t>
  </si>
  <si>
    <t>Papavassiliou</t>
  </si>
  <si>
    <t>Jamal</t>
  </si>
  <si>
    <t>Abdul Nasir</t>
  </si>
  <si>
    <t>jamal.nasir@nuigalway.ie</t>
  </si>
  <si>
    <t>Lennart John</t>
  </si>
  <si>
    <t>Baals</t>
  </si>
  <si>
    <t>Yosi</t>
  </si>
  <si>
    <t>KELLER</t>
  </si>
  <si>
    <t>yosi.keller@gmail.com</t>
  </si>
  <si>
    <t>Israel (IL)</t>
  </si>
  <si>
    <t>Aviv</t>
  </si>
  <si>
    <t>Gibali</t>
  </si>
  <si>
    <t>avivg@braude.ac.il</t>
  </si>
  <si>
    <t>Abraham</t>
  </si>
  <si>
    <t>Weinberg</t>
  </si>
  <si>
    <t>abraham-itzhak.weinberg@biu.ac.il</t>
  </si>
  <si>
    <t>Paolo</t>
  </si>
  <si>
    <t>Giudici</t>
  </si>
  <si>
    <t>giudici@unipv.it</t>
  </si>
  <si>
    <t>Italy (IT)</t>
  </si>
  <si>
    <t>Luca</t>
  </si>
  <si>
    <t>Di Persio</t>
  </si>
  <si>
    <t>luca.dipersio@univr.it</t>
  </si>
  <si>
    <t>Daniele</t>
  </si>
  <si>
    <t>Marazzina</t>
  </si>
  <si>
    <t>NadiaConcetta</t>
  </si>
  <si>
    <t>Fabrizio</t>
  </si>
  <si>
    <t>nadia.fabrizio@cefriel.com</t>
  </si>
  <si>
    <t>Claudia</t>
  </si>
  <si>
    <t>Tarantola</t>
  </si>
  <si>
    <t>claudia.tarantola@unipv.it</t>
  </si>
  <si>
    <t>Federica</t>
  </si>
  <si>
    <t>Miglietta</t>
  </si>
  <si>
    <t>federica.miglietta@uniba.it</t>
  </si>
  <si>
    <t>Barbara</t>
  </si>
  <si>
    <t>Alemanni</t>
  </si>
  <si>
    <t>alemanni@economia.unige.it</t>
  </si>
  <si>
    <t>Alessandra</t>
  </si>
  <si>
    <t>Tanda</t>
  </si>
  <si>
    <t>Trapin</t>
  </si>
  <si>
    <t>luca.trapin@unibo.it</t>
  </si>
  <si>
    <t>Iannario</t>
  </si>
  <si>
    <t>Simona</t>
  </si>
  <si>
    <t>Cosma</t>
  </si>
  <si>
    <t>simona.cosma@unisalento.it</t>
  </si>
  <si>
    <t>Francesca</t>
  </si>
  <si>
    <t>Grassetti</t>
  </si>
  <si>
    <t>francesca.grassetti@polimi.it</t>
  </si>
  <si>
    <t>Luisa</t>
  </si>
  <si>
    <t>Anderloni</t>
  </si>
  <si>
    <t>luisa.anderloni@unimi.it</t>
  </si>
  <si>
    <t>Kadri</t>
  </si>
  <si>
    <t>Sylejmani</t>
  </si>
  <si>
    <t>kadri.sylejmani@uni-pr.edu</t>
  </si>
  <si>
    <t>Kosovo* (KV)</t>
  </si>
  <si>
    <t>Albulena</t>
  </si>
  <si>
    <t>Shala</t>
  </si>
  <si>
    <t>Dashmir</t>
  </si>
  <si>
    <t>Istrefi</t>
  </si>
  <si>
    <t>dashmir.istrefi@hoyo.tech</t>
  </si>
  <si>
    <t>Ramona</t>
  </si>
  <si>
    <t>Rupeika-Apoga</t>
  </si>
  <si>
    <t>Latvia (LV)</t>
  </si>
  <si>
    <t>Kristina</t>
  </si>
  <si>
    <t>Šutienė</t>
  </si>
  <si>
    <t>Lithuania (LT)</t>
  </si>
  <si>
    <t>Audrius</t>
  </si>
  <si>
    <t>Kabašinskas</t>
  </si>
  <si>
    <t>audrius.kabasinskas@ktu.lt</t>
  </si>
  <si>
    <t>DEIMANTE</t>
  </si>
  <si>
    <t>TERESIENE</t>
  </si>
  <si>
    <t>teresiened@gmail.com</t>
  </si>
  <si>
    <t>Jurgita</t>
  </si>
  <si>
    <t>Černevičienė</t>
  </si>
  <si>
    <t>jurgitamark@gmail.com</t>
  </si>
  <si>
    <t>Dominykas</t>
  </si>
  <si>
    <t>Svedas</t>
  </si>
  <si>
    <t>dominykas.svedas@gmail.com</t>
  </si>
  <si>
    <t>Sabine</t>
  </si>
  <si>
    <t>Dörry</t>
  </si>
  <si>
    <t>sabine.doerry@liser.lu</t>
  </si>
  <si>
    <t>Luxembourg (LU)</t>
  </si>
  <si>
    <t>Djamila</t>
  </si>
  <si>
    <t>Aouada</t>
  </si>
  <si>
    <t>djamila.aouada@uni.lu</t>
  </si>
  <si>
    <t>Saida</t>
  </si>
  <si>
    <t>Teleu</t>
  </si>
  <si>
    <t>teleus@centralbankmalta.org</t>
  </si>
  <si>
    <t>Malta (MT)</t>
  </si>
  <si>
    <t>David</t>
  </si>
  <si>
    <t>Bevan</t>
  </si>
  <si>
    <t>Angele</t>
  </si>
  <si>
    <t>Giuliano</t>
  </si>
  <si>
    <t>angele.giuliano@umnai.com</t>
  </si>
  <si>
    <t>Ken</t>
  </si>
  <si>
    <t>Cassar</t>
  </si>
  <si>
    <t>ken.cassar@umnai.com</t>
  </si>
  <si>
    <t>Andrei</t>
  </si>
  <si>
    <t>Petroia</t>
  </si>
  <si>
    <t>petroia5@hotmail.com</t>
  </si>
  <si>
    <t>Moldova (MD)</t>
  </si>
  <si>
    <t>Lazar</t>
  </si>
  <si>
    <t>Obradović</t>
  </si>
  <si>
    <t>lazaro@ucg.ac.me</t>
  </si>
  <si>
    <t>Montenegro (ME)</t>
  </si>
  <si>
    <t>Luka</t>
  </si>
  <si>
    <t>Filipovic</t>
  </si>
  <si>
    <t>luka.filipovic@udg.edu.me</t>
  </si>
  <si>
    <t>Kleverlaan</t>
  </si>
  <si>
    <t>Netherlands (NL)</t>
  </si>
  <si>
    <t>Friedemann</t>
  </si>
  <si>
    <t>Polzin</t>
  </si>
  <si>
    <t>f.h.j.polzin@uu.nl</t>
  </si>
  <si>
    <t>Cornelis</t>
  </si>
  <si>
    <t>Oosterlee</t>
  </si>
  <si>
    <t>c.w.oosterlee@tudelft.nl</t>
  </si>
  <si>
    <t>Walther</t>
  </si>
  <si>
    <t>t.walther@uu.nl</t>
  </si>
  <si>
    <t>Cuong</t>
  </si>
  <si>
    <t>Nguyen</t>
  </si>
  <si>
    <t>cuong.nguyen@lincoln.ac.nz</t>
  </si>
  <si>
    <t>New Zealand (NZ)</t>
  </si>
  <si>
    <t>Petre</t>
  </si>
  <si>
    <t>Lameski</t>
  </si>
  <si>
    <t>North Macedonia (MK)</t>
  </si>
  <si>
    <t>Miroslav</t>
  </si>
  <si>
    <t>Mirchev</t>
  </si>
  <si>
    <t>miroslav.mirchev@finki.ukim.mk</t>
  </si>
  <si>
    <t>Tatjana</t>
  </si>
  <si>
    <t>Atanasova - Pachemska</t>
  </si>
  <si>
    <t>tatjana.pacemska@ugd.edu.mk</t>
  </si>
  <si>
    <t>Eftim</t>
  </si>
  <si>
    <t>Zdravevski</t>
  </si>
  <si>
    <t>eftim.zdravevski@finki.ukim.mk</t>
  </si>
  <si>
    <t>Goran</t>
  </si>
  <si>
    <t>Petkovski</t>
  </si>
  <si>
    <t>goran.petkovski@finki.ukim.mk</t>
  </si>
  <si>
    <t>Ågotnes</t>
  </si>
  <si>
    <t>thomas.agotnes@infomedia.uib.no</t>
  </si>
  <si>
    <t>Norway (NO)</t>
  </si>
  <si>
    <t>Rita</t>
  </si>
  <si>
    <t>Pimentel</t>
  </si>
  <si>
    <t>Per B</t>
  </si>
  <si>
    <t>Solibakke</t>
  </si>
  <si>
    <t>per.b.solibakke@ntnu.no</t>
  </si>
  <si>
    <t>Ahmad Amine</t>
  </si>
  <si>
    <t>Loutfi</t>
  </si>
  <si>
    <t>ah.am.loutfi@gmail.com</t>
  </si>
  <si>
    <t>Wei</t>
  </si>
  <si>
    <t>Li</t>
  </si>
  <si>
    <t>wei.li@hu-berlin.de</t>
  </si>
  <si>
    <t>Florentina</t>
  </si>
  <si>
    <t>Paraschiv</t>
  </si>
  <si>
    <t>florentina.paraschiv@ntnu.no</t>
  </si>
  <si>
    <t>Shatha</t>
  </si>
  <si>
    <t>Qamhieh</t>
  </si>
  <si>
    <t>shatha.qamhieh@najah.edu</t>
  </si>
  <si>
    <t>Palestine** (PS)</t>
  </si>
  <si>
    <t>Manar</t>
  </si>
  <si>
    <t>m.qamhieh@najah.edu</t>
  </si>
  <si>
    <t>Mona</t>
  </si>
  <si>
    <t>Demaidi</t>
  </si>
  <si>
    <t>monademaidi@gmail.com</t>
  </si>
  <si>
    <t>Piotr</t>
  </si>
  <si>
    <t>Wójcik</t>
  </si>
  <si>
    <t>Poland (PL)</t>
  </si>
  <si>
    <t>Marcin</t>
  </si>
  <si>
    <t>Chlebus</t>
  </si>
  <si>
    <t>mchlebus@wne.uw.edu.pl</t>
  </si>
  <si>
    <t>Będowska-Sójka</t>
  </si>
  <si>
    <t>barbara.bedowska-sojka@ue.poznan.pl</t>
  </si>
  <si>
    <t>Karolina</t>
  </si>
  <si>
    <t>Bolesta</t>
  </si>
  <si>
    <t>Bernardete</t>
  </si>
  <si>
    <t>Ribeiro</t>
  </si>
  <si>
    <t>bribeiro@dei.uc.pt</t>
  </si>
  <si>
    <t>Portugal (PT)</t>
  </si>
  <si>
    <t>Joana</t>
  </si>
  <si>
    <t>Dias</t>
  </si>
  <si>
    <t>joana@fe.uc.pt</t>
  </si>
  <si>
    <t>Maria Luisa</t>
  </si>
  <si>
    <t>Morgado</t>
  </si>
  <si>
    <t>luisam@utad.pt</t>
  </si>
  <si>
    <t>Catarina</t>
  </si>
  <si>
    <t>Silva</t>
  </si>
  <si>
    <t>Tiago</t>
  </si>
  <si>
    <t>Faria</t>
  </si>
  <si>
    <t>tiagofaria@student.dei.uc.pt</t>
  </si>
  <si>
    <t>Bernardo</t>
  </si>
  <si>
    <t>Marques</t>
  </si>
  <si>
    <t>bmarques@ucp.pt</t>
  </si>
  <si>
    <t>Ciprian-Octavian</t>
  </si>
  <si>
    <t>Truică</t>
  </si>
  <si>
    <t>ciprian.octavian.truica@gmail.com</t>
  </si>
  <si>
    <t>Romania (RO)</t>
  </si>
  <si>
    <t>Elena Simona</t>
  </si>
  <si>
    <t>Apostol</t>
  </si>
  <si>
    <t>elena.apostol@upb.ro</t>
  </si>
  <si>
    <t>Claudia Daniela</t>
  </si>
  <si>
    <t>Antal (Pop)</t>
  </si>
  <si>
    <t>claudia.pop@cs.utcluj.ro</t>
  </si>
  <si>
    <t>Daniel Traian</t>
  </si>
  <si>
    <t>Pele</t>
  </si>
  <si>
    <t>Vasile</t>
  </si>
  <si>
    <t>Strat</t>
  </si>
  <si>
    <t>vasile.strat@bbs.ase.ro</t>
  </si>
  <si>
    <t>Ciprian</t>
  </si>
  <si>
    <t>Sipos</t>
  </si>
  <si>
    <t>Codruta</t>
  </si>
  <si>
    <t>MARE</t>
  </si>
  <si>
    <t>Ioana</t>
  </si>
  <si>
    <t>Coita</t>
  </si>
  <si>
    <t>Damascan</t>
  </si>
  <si>
    <t>andreidamascan@gmail.com</t>
  </si>
  <si>
    <t>Stefana</t>
  </si>
  <si>
    <t>Belbe</t>
  </si>
  <si>
    <t>MIRJANA</t>
  </si>
  <si>
    <t>IVANOVIC</t>
  </si>
  <si>
    <t>mira@dmi.uns.ac.rs</t>
  </si>
  <si>
    <t>Serbia (RS)</t>
  </si>
  <si>
    <t>Vladimir</t>
  </si>
  <si>
    <t>Simović</t>
  </si>
  <si>
    <t>vladimir.simovic@ien.bg.ac.rs</t>
  </si>
  <si>
    <t>Miljan</t>
  </si>
  <si>
    <t>Vučetić</t>
  </si>
  <si>
    <t>Ivan</t>
  </si>
  <si>
    <t>Nikolic</t>
  </si>
  <si>
    <t>ivan.nikolic@ecinst.org.rs</t>
  </si>
  <si>
    <t>Lidija</t>
  </si>
  <si>
    <t>Barjaktarović</t>
  </si>
  <si>
    <t>Simon</t>
  </si>
  <si>
    <t>Trimborn</t>
  </si>
  <si>
    <t>Singapore (SG)</t>
  </si>
  <si>
    <t>Ying</t>
  </si>
  <si>
    <t>Chen</t>
  </si>
  <si>
    <t>matcheny@nus.edu.sg</t>
  </si>
  <si>
    <t>Hudec</t>
  </si>
  <si>
    <t>miroslav.hudec@euba.sk</t>
  </si>
  <si>
    <t>Slovakia (SK)</t>
  </si>
  <si>
    <t>Jana</t>
  </si>
  <si>
    <t>Peliova</t>
  </si>
  <si>
    <t>jana.peliova@euba.sk</t>
  </si>
  <si>
    <t>Marek</t>
  </si>
  <si>
    <t>Káčer</t>
  </si>
  <si>
    <t>marek.kacer@euba.sk</t>
  </si>
  <si>
    <t>Andrea</t>
  </si>
  <si>
    <t>Furkova</t>
  </si>
  <si>
    <t>andrea.furkova@euba.sk</t>
  </si>
  <si>
    <t>Michal</t>
  </si>
  <si>
    <t>Kompan</t>
  </si>
  <si>
    <t>miso.kompan@gmail.com</t>
  </si>
  <si>
    <t>Erika</t>
  </si>
  <si>
    <t>Mináriková</t>
  </si>
  <si>
    <t>erika.minarikova@euba.sk</t>
  </si>
  <si>
    <t>Denis</t>
  </si>
  <si>
    <t>Trček</t>
  </si>
  <si>
    <t>Slovenia (SI)</t>
  </si>
  <si>
    <t>Aleks</t>
  </si>
  <si>
    <t>Huc</t>
  </si>
  <si>
    <t>aleks.huc@fri.uni-lj.si</t>
  </si>
  <si>
    <t>Loncarski</t>
  </si>
  <si>
    <t>igor.loncarski@ef.uni-lj.si</t>
  </si>
  <si>
    <t>Sašo</t>
  </si>
  <si>
    <t>Karakatič</t>
  </si>
  <si>
    <t>German</t>
  </si>
  <si>
    <t>Rodrigo</t>
  </si>
  <si>
    <t>german.rodrigo@csic.es</t>
  </si>
  <si>
    <t>Spain (ES)</t>
  </si>
  <si>
    <t>Antonio</t>
  </si>
  <si>
    <t>Pelegrina Jimenez</t>
  </si>
  <si>
    <t>antpele@gmail.com</t>
  </si>
  <si>
    <t>Antoni</t>
  </si>
  <si>
    <t>Jaume i Capó</t>
  </si>
  <si>
    <t>antoni.jaume@uib.es</t>
  </si>
  <si>
    <t>Javier</t>
  </si>
  <si>
    <t>Arroyo</t>
  </si>
  <si>
    <t>Carlos</t>
  </si>
  <si>
    <t>Vazquez</t>
  </si>
  <si>
    <t>carlosv@udc.es</t>
  </si>
  <si>
    <t>Miquel</t>
  </si>
  <si>
    <t>Noguer i Alonso</t>
  </si>
  <si>
    <t>miquel.noguer@aifinanceinstitute.com</t>
  </si>
  <si>
    <t>Miller Janny</t>
  </si>
  <si>
    <t>Ariza Garzón</t>
  </si>
  <si>
    <t>millerar@ucm.es</t>
  </si>
  <si>
    <t>Luis</t>
  </si>
  <si>
    <t>Lorenzo</t>
  </si>
  <si>
    <t>Juan Carlos</t>
  </si>
  <si>
    <t>Nieves Sanchez</t>
  </si>
  <si>
    <t>jcnieves@cs.umu.se</t>
  </si>
  <si>
    <t>Sweden (SE)</t>
  </si>
  <si>
    <t>Theodorou</t>
  </si>
  <si>
    <t>andreas.theodorou@umu.se</t>
  </si>
  <si>
    <t>Ye</t>
  </si>
  <si>
    <t>Zhang</t>
  </si>
  <si>
    <t>Ye.Zhang@hhs.se</t>
  </si>
  <si>
    <t>Jörg</t>
  </si>
  <si>
    <t>Osterrieder</t>
  </si>
  <si>
    <t>oste@zhaw.ch</t>
  </si>
  <si>
    <t>Switzerland (CH)</t>
  </si>
  <si>
    <t>Peter</t>
  </si>
  <si>
    <t>Schwendner</t>
  </si>
  <si>
    <t>Marc</t>
  </si>
  <si>
    <t>Wildi</t>
  </si>
  <si>
    <t>wlmr@zhaw.ch</t>
  </si>
  <si>
    <t>Jan-Alexander</t>
  </si>
  <si>
    <t>Posth</t>
  </si>
  <si>
    <t>posh@zhaw.ch</t>
  </si>
  <si>
    <t>Branka</t>
  </si>
  <si>
    <t>Hadji Misheva</t>
  </si>
  <si>
    <t>hadj@zhaw.ch</t>
  </si>
  <si>
    <t>Marcus</t>
  </si>
  <si>
    <t>Wunsch</t>
  </si>
  <si>
    <t>wuns@zhaw.ch</t>
  </si>
  <si>
    <t>Matthias</t>
  </si>
  <si>
    <t>Fengler</t>
  </si>
  <si>
    <t>matthias.fengler@unisg.ch</t>
  </si>
  <si>
    <t>Hopp</t>
  </si>
  <si>
    <t>christian.hopp@bfh.ch</t>
  </si>
  <si>
    <t>Huei-Wen</t>
  </si>
  <si>
    <t>Teng</t>
  </si>
  <si>
    <t>venteng@gmail.com</t>
  </si>
  <si>
    <t>Taiwan (TW)</t>
  </si>
  <si>
    <t>Ismail</t>
  </si>
  <si>
    <t>Kirbas</t>
  </si>
  <si>
    <t>ismkir@gmail.com</t>
  </si>
  <si>
    <t>Turkey (TR)</t>
  </si>
  <si>
    <t>Enis</t>
  </si>
  <si>
    <t>Kayis</t>
  </si>
  <si>
    <t>enis.kayis@ozyegin.edu.tr</t>
  </si>
  <si>
    <t>Ozgur</t>
  </si>
  <si>
    <t>Yildirim</t>
  </si>
  <si>
    <t>ozgury@yildiz.edu.tr</t>
  </si>
  <si>
    <t>esra</t>
  </si>
  <si>
    <t>kabaklarli</t>
  </si>
  <si>
    <t>Belma</t>
  </si>
  <si>
    <t>OZTURKKAL</t>
  </si>
  <si>
    <t>Sinan</t>
  </si>
  <si>
    <t>Hanay</t>
  </si>
  <si>
    <t>sinanhanay@akdeniz.edu.tr</t>
  </si>
  <si>
    <t>Seda</t>
  </si>
  <si>
    <t>TURK</t>
  </si>
  <si>
    <t>sedaturk@hotmail.com</t>
  </si>
  <si>
    <t>Alper</t>
  </si>
  <si>
    <t>Ozcan</t>
  </si>
  <si>
    <t>alper.ozcan@gmail.com</t>
  </si>
  <si>
    <t>Bekir</t>
  </si>
  <si>
    <t>Berkcan</t>
  </si>
  <si>
    <t>bberkcan@artvin.edu.tr</t>
  </si>
  <si>
    <t>Melike</t>
  </si>
  <si>
    <t>Bildirici</t>
  </si>
  <si>
    <t>melikebildirici@gmail.com</t>
  </si>
  <si>
    <t>Mutlu</t>
  </si>
  <si>
    <t>Akar</t>
  </si>
  <si>
    <t>makar@yildiz.edu.tr</t>
  </si>
  <si>
    <t>Gamze</t>
  </si>
  <si>
    <t>Ozturk Danisman</t>
  </si>
  <si>
    <t>gamze.danisman@khas.edu.tr</t>
  </si>
  <si>
    <t>Stephen</t>
  </si>
  <si>
    <t>Chan</t>
  </si>
  <si>
    <t>schan@aus.edu</t>
  </si>
  <si>
    <t>United Arab Emirates (AE)</t>
  </si>
  <si>
    <t>Bracciali</t>
  </si>
  <si>
    <t>abracciali@gmail.com</t>
  </si>
  <si>
    <t>United Kingdom (UK)</t>
  </si>
  <si>
    <t>Tomaso</t>
  </si>
  <si>
    <t>Aste</t>
  </si>
  <si>
    <t>t.aste@ucl.ac.uk</t>
  </si>
  <si>
    <t>Felipe</t>
  </si>
  <si>
    <t>Ferri de C. Paes</t>
  </si>
  <si>
    <t>fe.ferripaes@gmail.com</t>
  </si>
  <si>
    <t>Ania</t>
  </si>
  <si>
    <t>Zalewska</t>
  </si>
  <si>
    <t>Arman</t>
  </si>
  <si>
    <t>Hassanniakalager</t>
  </si>
  <si>
    <t>ah2493@bath.ac.uk</t>
  </si>
  <si>
    <t>Luciana</t>
  </si>
  <si>
    <t>Dalla Valle</t>
  </si>
  <si>
    <t>Matthieu</t>
  </si>
  <si>
    <t>Nadini</t>
  </si>
  <si>
    <t>matthieu.nadini@gmail.com</t>
  </si>
  <si>
    <t>Stavros</t>
  </si>
  <si>
    <t>Pantos</t>
  </si>
  <si>
    <t>s.pantos@pgr.reading.ac.uk</t>
  </si>
  <si>
    <t>Jose</t>
  </si>
  <si>
    <t>Muniz Martinez</t>
  </si>
  <si>
    <t>jamm24@bath.ac.uk</t>
  </si>
  <si>
    <t>Phuong</t>
  </si>
  <si>
    <t>npanh@hcmiu.edu.vn</t>
  </si>
  <si>
    <t>Vietnam (VN)</t>
  </si>
  <si>
    <t>Sam</t>
  </si>
  <si>
    <t>Goundar</t>
  </si>
  <si>
    <t>Mike</t>
  </si>
  <si>
    <t>Tsionas</t>
  </si>
  <si>
    <t>miketsionas1@gmail.com</t>
  </si>
  <si>
    <t>Jozef</t>
  </si>
  <si>
    <t>Barunik</t>
  </si>
  <si>
    <t>barunik@utia.cas.cz</t>
  </si>
  <si>
    <t>Country Coordinator for the progress report. At least one per country</t>
  </si>
  <si>
    <t xml:space="preserve">Country  </t>
  </si>
  <si>
    <t xml:space="preserve">Responsible </t>
  </si>
  <si>
    <t>email to fill in report sent</t>
  </si>
  <si>
    <t>reminder sent</t>
  </si>
  <si>
    <t>2nd reminder sent</t>
  </si>
  <si>
    <t>3rd reminder sent</t>
  </si>
  <si>
    <t>Coordinator 1</t>
  </si>
  <si>
    <t>Coordinator 2</t>
  </si>
  <si>
    <t>Coordinator 3</t>
  </si>
  <si>
    <t>Link</t>
  </si>
  <si>
    <t xml:space="preserve">Please add the link to your copy of the report </t>
  </si>
  <si>
    <t>https://docs.google.com/document/d/1Y0w27959kx0P0g-7Fgd3cu4Yd46gZ2OFnh4FJUsgIS8/edit#</t>
  </si>
  <si>
    <t>email</t>
  </si>
  <si>
    <t>Link to country report</t>
  </si>
  <si>
    <r>
      <rPr/>
      <t xml:space="preserve">Template report to be copied: </t>
    </r>
    <r>
      <rPr>
        <color rgb="FF1155CC"/>
        <u/>
      </rPr>
      <t>https://docs.google.com/document/d/1Y0w27959kx0P0g-7Fgd3cu4Yd46gZ2OFnh4FJUsgIS8/edit#heading=h.2mpvn8bbm5w6</t>
    </r>
  </si>
  <si>
    <t>joerg</t>
  </si>
  <si>
    <t>y</t>
  </si>
  <si>
    <t>https://docs.google.com/document/d/1iOZrM7AnjALr_yjkkJOtuyzlYeNvi_Xs4ehVZQZNGaA/edit#heading=h.32e7gxn6ztmt</t>
  </si>
  <si>
    <t>n</t>
  </si>
  <si>
    <t>AUSTRIA COST FinAI Progress Report GP1 and GP2</t>
  </si>
  <si>
    <t>https://docs.google.com/document/d/1y36UVVrMeOXD3s3liJ7ecwAvajoizWXoAe_Bli9Wys8/edit#heading=h.32e7gxn6ztmt</t>
  </si>
  <si>
    <t>dont want to write a report</t>
  </si>
  <si>
    <t>https://docs.google.com/document/d/1oO7bb8LGn88X4S9V7P6NAFD765PrfGRM/edit?usp=sharing&amp;ouid=105279148080483818425&amp;rtpof=true&amp;sd=true</t>
  </si>
  <si>
    <t>https://docs.google.com/document/d/1lrRwi7e_8bFQB39NKm4DgD-tgEZI6hcY/edit#</t>
  </si>
  <si>
    <t>https://docs.google.com/document/d/18jME8nOvpYpCJZtKBuItQSCE33jCXDtyfpp5GE9rN8s/edit#</t>
  </si>
  <si>
    <t>oleg@muni.cz</t>
  </si>
  <si>
    <t>https://docs.google.com/document/d/1YPxHBY2v8zGAL2bDBYXSWlD74VCGJwS7FduI8T_YJ6c/edit#heading=h.3l5zvva7l0gu</t>
  </si>
  <si>
    <t>https://docs.google.com/document/d/10xC_zEA3APqy0OqtIWPDivF9XtI20Y16Vy2BLWqqvQM/edit#heading=h.32e7gxn6ztmt</t>
  </si>
  <si>
    <t>https://docs.google.com/document/d/1s2FJdQyUJl4b_POWwJvYLueVupqzezUc2EGpuq5Zpy0/edit?usp=sharing</t>
  </si>
  <si>
    <t>alla.petukhina@htw-berlin.de</t>
  </si>
  <si>
    <t>https://docs.google.com/document/d/140mQ2ePur80UbqIjNI2w4RpgqtqLjWTlspFwqMBxqAY/edit?usp=sharing</t>
  </si>
  <si>
    <t>Veniarakelian@yahoo.com</t>
  </si>
  <si>
    <t>tuan.trinh@eitdigital.eu</t>
  </si>
  <si>
    <t>https://docs.google.com/document/d/1zCJ0b3kScjtx6c3xAdEpjorVLjTmPsBdOCqavMGs1OA/edit?usp=sharing</t>
  </si>
  <si>
    <t>https://docs.google.com/document/d/1Rw1CF21ASPSzI_Q7HIjCUI-RS1wizLlwmND2ob-cgeg/edit#heading=h.32e7gxn6ztmt</t>
  </si>
  <si>
    <t>https://docs.google.com/document/d/1cIIZXssqNfgArRh5nNxZxjot95C4U3X7wKvnAZSLoHc/edit?usp=sharing</t>
  </si>
  <si>
    <t>alessia.paccagnini@ucd.ie</t>
  </si>
  <si>
    <t>https://docs.google.com/document/d/1puJMR1go9Ff5Zce1XB4nOD6c4XMiyMgva0Ximavhcx0/edit</t>
  </si>
  <si>
    <t>https://docs.google.com/document/d/1NFE0Qk8SF_guVBBbSwM5ReFXamp0f5FVPs7lceulR5c/edit?usp=sharing</t>
  </si>
  <si>
    <t>kristina</t>
  </si>
  <si>
    <t>https://docs.google.com/document/d/1TxnRdadvV30loGWMaMJ5HyooUFrIfRZdFVoSFqDQeRA/edit?usp=sharing</t>
  </si>
  <si>
    <t>https://docs.google.com/document/d/15aJpyctdKGChmTmZvojNtLrPXKc0UHXT0P2g6azpWos/edit?usp=sharing</t>
  </si>
  <si>
    <t>https://docs.google.com/document/d/1g0peRJ3XNgu30mCtF8ryr7RWUX1eSjAe/edit?usp=sharing&amp;ouid=100307204068834796883&amp;rtpof=true&amp;sd=true</t>
  </si>
  <si>
    <t>https://docs.google.com/document/d/165BiTMN2cpdH9UaH1EoZ4gcPsFYYHuL6T6L7TAy2sZw/edit#heading=h.32e7gxn6ztmt</t>
  </si>
  <si>
    <t>https://docs.google.com/document/d/154fyD4OXUepnaxETMyAcJDFOiPuJhIv2/edit?usp=sharing&amp;ouid=114838286075587525311&amp;rtpof=true&amp;sd=true</t>
  </si>
  <si>
    <t>https://docs.google.com/document/d/1CwocoD6YQq1Nz_XIavnC81e92psgkVAR/edit#heading=h.gjdgxs</t>
  </si>
  <si>
    <t>https://docs.google.com/document/d/1RXh0FtykIGpPB9L7O8TSTJ8tTOjXQcSB/edit</t>
  </si>
  <si>
    <t>denis.trcek@fri.uni-lj.si</t>
  </si>
  <si>
    <t>https://docs.google.com/document/d/13H0x92x_1CnXmz1W38Yyl9RgCUuEa9gjrkmjVvU92qE/edit?usp=sharing</t>
  </si>
  <si>
    <t>https://docs.google.com/document/d/1YIExduOhquNsFWPWwnBZg9Tn2GQ8SevvT-MU68x97cQ/edit#</t>
  </si>
  <si>
    <t>all CH members</t>
  </si>
  <si>
    <t>https://docs.google.com/document/d/1uYG9HhIzCTZ1EDZC3G-eH4Yia8KFFpk2dScGNVDIA_Y/edit#heading=h.gjdgxs</t>
  </si>
  <si>
    <t>https://docs.google.com/document/d/1Av8VJLbeUocD7klHcIvLvVr_JCGFxjap/edit?usp=sharing&amp;ouid=116591962908536436994&amp;rtpof=true&amp;sd=true</t>
  </si>
  <si>
    <t>https://docs.google.com/presentation/d/1vNClf1_yMVSIljvjaHS49utYK4Py0Juh/edit?usp=sharing&amp;ouid=116591962908536436994&amp;rtpof=true&amp;sd=true</t>
  </si>
  <si>
    <t>https://docs.google.com/document/d/1-opk_sBx_lDHkVqf8APVDfvIh3mvlj10/edit#</t>
  </si>
  <si>
    <t>https://docs.google.com/document/d/1Xbc1HA5kamGsx31WRNKZDYFTOwyMCiYduwVKA2mNWsE/edit#heading=h.32e7gxn6ztmt</t>
  </si>
  <si>
    <t>Working Group (WG)</t>
  </si>
  <si>
    <t>https://docs.google.com/document/d/1gCX7wuxcol0bB34DWD_VhJ0it7Aww1algEeVeVDCWrw/edit?usp=sharing</t>
  </si>
  <si>
    <t xml:space="preserve">Diversity </t>
  </si>
  <si>
    <t>https://docs.google.com/document/d/1nQUCSv0YWMkRowrQU44uzVweUoCf0Cl8aUw78bj0V9o/edit#heading=h.32e7gxn6ztmt</t>
  </si>
  <si>
    <t>https://docs.google.com/document/d/1nQUCSv0YWMkRowrQU44uzVweUoCf0Cl8aUw78bj0V9o/edit</t>
  </si>
  <si>
    <t>Scienctifi Communication</t>
  </si>
  <si>
    <t>Alessia</t>
  </si>
  <si>
    <t>Alessia Paccagnini &lt;alessia.paccagnini@ucd.ie&gt;</t>
  </si>
  <si>
    <t>DOI of work (paper or anything else)</t>
  </si>
  <si>
    <t>Added to e-cost tools?</t>
  </si>
  <si>
    <t xml:space="preserve">Email of Contact person </t>
  </si>
  <si>
    <t>Added to online report? (Yiting)</t>
  </si>
  <si>
    <t>COST Acknowledgement</t>
  </si>
  <si>
    <t>Citation (ONLY IF NO DOI up to now, otherwise, not needed)</t>
  </si>
  <si>
    <t>10.13189/ujaf.2020.080402</t>
  </si>
  <si>
    <t>llesh.lleshaj@unitir.edu.al</t>
  </si>
  <si>
    <t>N</t>
  </si>
  <si>
    <t>no</t>
  </si>
  <si>
    <t>Llesh Lleshaj , Alban Korbi (2020). Portfolio Selection and VaR Estimation: Evidence from Western Balkan Countries. Universal Journal of Accounting and Finance, 8(4), 92 - 102. DOI: 10.13189/ujaf.2020.080402.</t>
  </si>
  <si>
    <t>10.34109/ijefs.20220026</t>
  </si>
  <si>
    <t>anila.voci@uniel.edu.al</t>
  </si>
  <si>
    <t>Çekrezi, A. V. (2022). Determinants of Bank Deposits in Albania. International Journal of Economics and Finance Studies, 14 (02), 101-121. doi:10.34111/ijefs. 20220026</t>
  </si>
  <si>
    <t>10.37394/23207.2021.18.102</t>
  </si>
  <si>
    <t>rezarta.perri@unitir.edu.al</t>
  </si>
  <si>
    <t>Rezarta Shkurti, Elfrida Manoku, "Factors of Success in Implementation of Enterprise Resource Planning Systems," WSEAS Transactions on Business and Economics, vol. 18, pp. 1084-1093, 2021</t>
  </si>
  <si>
    <t>N/A</t>
  </si>
  <si>
    <t>Xhumari, E., Maxhelaku, S., &amp; Xhina, E. (2022, July). A review of Knowledge Graph and Graph Neural Network application. In Proceedings of Economics and Finance Conferences (No. 13615626). International Institute of Social and Economic Sciences.</t>
  </si>
  <si>
    <t>Xhumari E. COMPARING THE TECHNOLOGIES USED FOR THE APPLICATION OF ARTIFICIAL NEURAL NETWORKS. European Journal of Computer Science and Information Technology
Vol.9, No.2, pp.21-28, 2021</t>
  </si>
  <si>
    <t>https://link.springer.com/article/10.1007/s42521-022-00054-w</t>
  </si>
  <si>
    <t>Hafner, C.M., Majeri, S. Analysis of cryptocurrency connectedness based on network to transaction volume ratios. Digit Finance (2022). https://doi.org/10.1007/s42521-022-00054-w</t>
  </si>
  <si>
    <t>https://academic.oup.com/jfec/article/18/2/233/5133597</t>
  </si>
  <si>
    <t>Christian M Hafner, Testing for Bubbles in Cryptocurrencies with Time-Varying Volatility, Journal of Financial Econometrics, Volume 18, Issue 2, Spring 2020, Pages 233–249, https://doi.org/10.1093/jjfinec/nby023</t>
  </si>
  <si>
    <t>https://www.mdpi.com/1911-8074/12/2/53</t>
  </si>
  <si>
    <t>Chen, C.Y.-H.; Hafner, C.M. Sentiment-Induced Bubbles in the Cryptocurrency Market. J. Risk Financial Manag. 2019, 12, 53. https://doi.org/10.3390/jrfm12020053</t>
  </si>
  <si>
    <t>https://link.springer.com/content/pdf/10.1007/978-3-030-51093-0.pdf</t>
  </si>
  <si>
    <t>Y</t>
  </si>
  <si>
    <t>Van der Auwera, E., Schoutens, W., Giudici, M. P., &amp; Alessi, L. (2020). Financial Risk Management for Cryptocurrencies. Springer International Publishing.</t>
  </si>
  <si>
    <t>not yet available</t>
  </si>
  <si>
    <t>yes</t>
  </si>
  <si>
    <t>Lin, Wang, Bocart, Hafner, Haerdle (2022) DAI: Digital Art Index, forthcoming</t>
  </si>
  <si>
    <t>domagoj.sajter@efos.hr</t>
  </si>
  <si>
    <r>
      <rPr>
        <rFont val="Arial"/>
        <color theme="1"/>
        <sz val="10.0"/>
      </rPr>
      <t xml:space="preserve">Sajter, D. (2022, May 5–6). </t>
    </r>
    <r>
      <rPr>
        <rFont val="Arial"/>
        <i/>
        <color theme="1"/>
        <sz val="10.0"/>
      </rPr>
      <t xml:space="preserve">Overseas Transaction Fees: Sending Money via Bitcoin vs. Banks </t>
    </r>
    <r>
      <rPr>
        <rFont val="Arial"/>
        <color theme="1"/>
        <sz val="10.0"/>
      </rPr>
      <t xml:space="preserve">[Paper presentation]. Technology, Innovation and Stability: New Directions in Finance (TINFIN), Zagreb, Croatia.
</t>
    </r>
  </si>
  <si>
    <t>bozena.gulija@outlook.com</t>
  </si>
  <si>
    <r>
      <rPr>
        <rFont val="Arial"/>
        <color theme="1"/>
        <sz val="10.0"/>
      </rPr>
      <t xml:space="preserve">Gulija, B., Kammel, A., &amp; Payr, T. (2022, May 5–6). </t>
    </r>
    <r>
      <rPr>
        <rFont val="Arial"/>
        <i/>
        <color theme="1"/>
        <sz val="10.0"/>
      </rPr>
      <t>Prudential Regulation of Fintechs</t>
    </r>
    <r>
      <rPr>
        <rFont val="Arial"/>
        <color theme="1"/>
        <sz val="10.0"/>
      </rPr>
      <t xml:space="preserve"> [Paper presentation]. Technology, Innovation and Stability: New Directions in Finance (TINFIN), Zagreb, Croatia.</t>
    </r>
  </si>
  <si>
    <r>
      <rPr>
        <rFont val="Arial"/>
        <color theme="1"/>
        <sz val="10.0"/>
      </rPr>
      <t xml:space="preserve">Simurina, N., Kurnoga, N., &amp; Fuckan, F. (2022, May 5–6). </t>
    </r>
    <r>
      <rPr>
        <rFont val="Arial"/>
        <i/>
        <color theme="1"/>
        <sz val="10.0"/>
      </rPr>
      <t>Performance differences between ESG indices and traditional indices</t>
    </r>
    <r>
      <rPr>
        <rFont val="Arial"/>
        <color theme="1"/>
        <sz val="10.0"/>
      </rPr>
      <t xml:space="preserve"> [Paper presentation]. Technology, Innovation and Stability: New Directions in Finance (TINFIN), Zagreb, Croatia.</t>
    </r>
  </si>
  <si>
    <r>
      <rPr>
        <rFont val="Arial"/>
        <color theme="1"/>
        <sz val="10.0"/>
      </rPr>
      <t xml:space="preserve">Dzelalija, P., &amp; Ivanisevic Hernaus, A. (2022, August 22–24). </t>
    </r>
    <r>
      <rPr>
        <rFont val="Arial"/>
        <i/>
        <color theme="1"/>
        <sz val="10.0"/>
      </rPr>
      <t>From perceived mobility to the intention to use mobile payments: A moderated mediation analysis</t>
    </r>
    <r>
      <rPr>
        <rFont val="Arial"/>
        <color theme="1"/>
        <sz val="10.0"/>
      </rPr>
      <t xml:space="preserve"> [Paper presentation]. FinanceCom 2022: 11th International Workshop, Enterprise Applications, Markets and Services in the Finance Industry, University of Twente, the Netherlands.
</t>
    </r>
  </si>
  <si>
    <r>
      <rPr>
        <rFont val="Arial"/>
        <color theme="1"/>
        <sz val="10.0"/>
      </rPr>
      <t xml:space="preserve">Ivanisevic Hernaus, A., Kristo, J., &amp; Rako, R. (2022, May 5–6). </t>
    </r>
    <r>
      <rPr>
        <rFont val="Arial"/>
        <i/>
        <color theme="1"/>
        <sz val="10.0"/>
      </rPr>
      <t xml:space="preserve">ESG-Related Challenges in the Insurance Industry: A Multi-stakeholder Perspective </t>
    </r>
    <r>
      <rPr>
        <rFont val="Arial"/>
        <color theme="1"/>
        <sz val="10.0"/>
      </rPr>
      <t>[Paper presentation]. Technology, Innovation and Stability: New Directions in Finance (TINFIN), Zagreb, Croatia.</t>
    </r>
  </si>
  <si>
    <t>https://doi.org/10.2478/crebss-2020-0007</t>
  </si>
  <si>
    <t>https://doi.org/10.4324/9781003144410-8</t>
  </si>
  <si>
    <t>https://doi.org/10.4018/978-1-7998-5083-0.ch010</t>
  </si>
  <si>
    <r>
      <rPr>
        <rFont val="Arial"/>
        <color theme="1"/>
        <sz val="10.0"/>
      </rPr>
      <t xml:space="preserve">Vlah Jeric, S. (2022, March 10–11). </t>
    </r>
    <r>
      <rPr>
        <rFont val="Arial"/>
        <i/>
        <color theme="1"/>
        <sz val="10.0"/>
      </rPr>
      <t xml:space="preserve">Time interval choices in forecasting direction of stock price changes using technical indicators </t>
    </r>
    <r>
      <rPr>
        <rFont val="Arial"/>
        <color theme="1"/>
        <sz val="10.0"/>
      </rPr>
      <t>[Paper presentation]. 29th Symposium of the Society for Nonlinear Dynamics &amp; Econometrics, SNDE online.</t>
    </r>
  </si>
  <si>
    <r>
      <rPr>
        <rFont val="Arial"/>
        <color theme="1"/>
        <sz val="10.0"/>
      </rPr>
      <t xml:space="preserve">Vlah Jeric, S. (2022, May 5–6). </t>
    </r>
    <r>
      <rPr>
        <rFont val="Arial"/>
        <i/>
        <color theme="1"/>
        <sz val="10.0"/>
      </rPr>
      <t>Time Interval Choices in The Performance Estimation of Forecasting Direction Of Stock Price Changes</t>
    </r>
    <r>
      <rPr>
        <rFont val="Arial"/>
        <color theme="1"/>
        <sz val="10.0"/>
      </rPr>
      <t xml:space="preserve"> [Paper presentation]. Technology, Innovation and Stability: New Directions in Finance (TINFIN), Zagreb, Croatia.</t>
    </r>
  </si>
  <si>
    <r>
      <rPr>
        <rFont val="Arial"/>
        <i val="0"/>
        <color theme="1"/>
        <sz val="10.0"/>
      </rPr>
      <t>Vlah Jeric, S. (2020, September 23–25).</t>
    </r>
    <r>
      <rPr>
        <rFont val="Arial"/>
        <i/>
        <color theme="1"/>
        <sz val="10.0"/>
      </rPr>
      <t xml:space="preserve"> Evaluation of Classification Algorithms for Prediction of Stock Market Index in Day Trading </t>
    </r>
    <r>
      <rPr>
        <rFont val="Arial"/>
        <i val="0"/>
        <color theme="1"/>
        <sz val="10.0"/>
      </rPr>
      <t>[Paper presentation]. The 28th Annual Symposium of the Society for Nonlinear Dynamics and Econometrics, Zagreb, Croatia.</t>
    </r>
  </si>
  <si>
    <r>
      <rPr>
        <rFont val="Arial"/>
        <i val="0"/>
        <color theme="1"/>
        <sz val="10.0"/>
      </rPr>
      <t xml:space="preserve">Vlah Jeric, S. (2020, October 15–16). </t>
    </r>
    <r>
      <rPr>
        <rFont val="Arial"/>
        <i/>
        <color theme="1"/>
        <sz val="10.0"/>
      </rPr>
      <t>Comparing classification algorithms for prediction on CROBEX data</t>
    </r>
    <r>
      <rPr>
        <rFont val="Arial"/>
        <i val="0"/>
        <color theme="1"/>
        <sz val="10.0"/>
      </rPr>
      <t xml:space="preserve"> [Paper presentation]. The 3rd International Statistical Conference in Croatia – ISCCRO'20, Zagreb, Croatia.</t>
    </r>
  </si>
  <si>
    <t xml:space="preserve">Sajter, D., &amp; Binder, B. (2020). Market Risks of the Cryptocurrency Index CRIX in Relation to S&amp;P 500. In: J. Tica &amp; K. Bacic (Eds.) Ekonomska politika Hrvatske u 2021. (pp. 192-206). Hrvatsko drustvo ekonomista, Zagreb, Croatia. [in Croatian] </t>
  </si>
  <si>
    <r>
      <rPr>
        <rFont val="Arial"/>
        <color theme="1"/>
        <sz val="10.0"/>
      </rPr>
      <t xml:space="preserve">Gulija, B. (2022, June 4). Global Initiatives Regarding Prudential Treatment Of Banks’ Cryptoasset Exposures. </t>
    </r>
    <r>
      <rPr>
        <rFont val="Arial"/>
        <i/>
        <color theme="1"/>
        <sz val="10.0"/>
      </rPr>
      <t>Financial Regulation International, 25 (3).</t>
    </r>
    <r>
      <rPr>
        <rFont val="Arial"/>
        <color theme="1"/>
        <sz val="10.0"/>
      </rPr>
      <t xml:space="preserve"> https://www.financialregulationintl.com/financial-industry/global-initiatives-regarding-prudential-treatment-of-banks-cryptoasset-exposures--1.htm</t>
    </r>
  </si>
  <si>
    <t>doi.org/10.1007/s11634-022-00508-4</t>
  </si>
  <si>
    <t>doi.org/10.1016/j.eswa.2022.117423</t>
  </si>
  <si>
    <t>doi.org/10.1016/j.ejor.2021.12.022</t>
  </si>
  <si>
    <t>doi.org/10.1016/j.omega.2021.102543</t>
  </si>
  <si>
    <t>doi.org/10.1016/j.eswa.2021.115245</t>
  </si>
  <si>
    <t>doi.org/10.1016/j.ejor.2021.04.016</t>
  </si>
  <si>
    <t>doi.org/10.1016/j.cor.2021.105281</t>
  </si>
  <si>
    <t>doi.org/10.1007/s11750-021-00594-1</t>
  </si>
  <si>
    <t>doi.org/10.1080/00273171.2019.1677208</t>
  </si>
  <si>
    <t>doi.org/10.1016/j.omega.2019.05.004</t>
  </si>
  <si>
    <t>doi.org/10.1016/j.ejor.2019.12.002</t>
  </si>
  <si>
    <t>https://doi.org/10.1007/978-981-16-2418-6</t>
  </si>
  <si>
    <t>* not included in the last reporting period</t>
  </si>
  <si>
    <t>https://doi.org/10.1016/j.intfin.2021.101321</t>
  </si>
  <si>
    <t>https://doi.org/10.1016/j.irfa.2021.101958</t>
  </si>
  <si>
    <t>https://doi.org/10.1080/1351847X.2020.1869992</t>
  </si>
  <si>
    <t>https://doi.org/10.1080/00036846.2020.1854671</t>
  </si>
  <si>
    <t>https://doi.org/10.1016/j.frl.2019.101405</t>
  </si>
  <si>
    <t>https://doi.org/10.1016/j.qref.2020.02.004</t>
  </si>
  <si>
    <t>https://www.jstor.org/stable/48618930</t>
  </si>
  <si>
    <t>France, Ireland</t>
  </si>
  <si>
    <t>https://doi.org/10.1016/j.frl.2021.102162</t>
  </si>
  <si>
    <t>Jalan, A., Matkovskyy, R., and Poti, V. (2022). "Shall the winning last? A study of recent bubbles and persistence." Finance Research Letters 45, 102162</t>
  </si>
  <si>
    <t>https://doi.org/10.1016/j.econlet.2022.110877</t>
  </si>
  <si>
    <t>Jalan, A., Matkovskyy, R., Urquhart, A. (2022) Demand elasticities of Bitcoin and Ethereum. Economics Letters</t>
  </si>
  <si>
    <t>https://doi.org/10.1007/s42521-021-00045-3</t>
  </si>
  <si>
    <t>Chen, Y., Bredin, D., Potì, V. and R. Matkovskyy, COVID risk narratives: a computational linguistic approach to the econometric identification of narrative risk during a pandemic, Digital Finance 4, pages 17-61, 2022.</t>
  </si>
  <si>
    <t>https://doi.org/10.1214/20-AOS2019</t>
  </si>
  <si>
    <t>https://doi.org/10.1080/14697688.2021.1880023</t>
  </si>
  <si>
    <t>https://doi.org/10.1016/j.jspi.2020.10.007</t>
  </si>
  <si>
    <t>https://doi.org/10.1111/rssc.12499</t>
  </si>
  <si>
    <t>https://doi.org/10.1016/j.jedc.2021.104290</t>
  </si>
  <si>
    <t>https://doi.org/10.1016/j.irfa.2021.101915</t>
  </si>
  <si>
    <t>http://dx.doi.org/10.2139/ssrn.3724814</t>
  </si>
  <si>
    <t>https://doi.org/10.1007/s42521-021-00031-9</t>
  </si>
  <si>
    <t>https://doi.org/10.1007/s42521-021-00043-5</t>
  </si>
  <si>
    <t>https://doi.org/10.1007/s43546-021-00057-6</t>
  </si>
  <si>
    <t>https://doi.org/10.1007/978-3-030-73443-5_94-1</t>
  </si>
  <si>
    <t>https://doi.org/10.48550/arXiv.2208.12614</t>
  </si>
  <si>
    <t>https://doi.org/10.1016/j.ribaf.2021.101594</t>
  </si>
  <si>
    <t>http://dx.doi.org/10.2139/ssrn.3809329</t>
  </si>
  <si>
    <t>https://doi.org/10.48550/arXiv.2107.08808</t>
  </si>
  <si>
    <t>https://dx.doi.org/10.2139/ssrn.3911490</t>
  </si>
  <si>
    <t>https://doi.org/10.1007/s42521-022-00048-8</t>
  </si>
  <si>
    <t>https://doi.org/10.1007/s10614-021-10113-w</t>
  </si>
  <si>
    <t>http://dx.doi.org/10.2139/ssrn.3987941</t>
  </si>
  <si>
    <t>http://dx.doi.org/10.2139/ssrn.4209433</t>
  </si>
  <si>
    <t>https://doi.org/10.1142/S0217590822480010</t>
  </si>
  <si>
    <t>https://doi.org/10.48550/arXiv.2108.05721</t>
  </si>
  <si>
    <t>https://doi.org/10.1016/j.jmva.2021.104869</t>
  </si>
  <si>
    <t>http://dx.doi.org/10.2139/ssrn.4079006</t>
  </si>
  <si>
    <r>
      <rPr>
        <color rgb="FF1155CC"/>
        <sz val="10.0"/>
        <u/>
      </rPr>
      <t>https://doi.org/10.48550/arXiv.2204.0275</t>
    </r>
    <r>
      <rPr>
        <sz val="10.0"/>
      </rPr>
      <t>7</t>
    </r>
  </si>
  <si>
    <t>https://doi.org/10.1007/s00181-021-02027-1</t>
  </si>
  <si>
    <t>http://dx.doi.org/10.2139/ssrn.4150849</t>
  </si>
  <si>
    <t>https://doi.org/10.48550/arXiv.2110.09429</t>
  </si>
  <si>
    <t>https://doi.org/10.48550/arXiv.2108.11921</t>
  </si>
  <si>
    <t>10.6293/AQAFA.202112_(18).0006</t>
  </si>
  <si>
    <t>MB Lin, K. Khowaja, CYH Chen, WK Härdle (2021) Blockchain mechanism and distributional characteristics of cryptos , Advances in Quantitative Analysis of Finance &amp; Accounting (AQAFA), Vol. 18, DOI：10.6293/AQAFA.202112_(18).0006</t>
  </si>
  <si>
    <t>http://dx.doi.org/10.2139/ssrn.3912753</t>
  </si>
  <si>
    <t>https://doi.org/10.48550/arXiv.2103.08447</t>
  </si>
  <si>
    <t>https://doi.org/10.1007/s42521-022-00064-8</t>
  </si>
  <si>
    <t>https://doi.org/10.1016/j.jcomm.2021.100189</t>
  </si>
  <si>
    <t>https://doi.org/10.48550/arXiv.2101.10189</t>
  </si>
  <si>
    <t>K  Khowaja, M Shcherbatyy, WK Härdle (2021) Surrogate Models for Optimization of Dynamical Systems, "Foundations of Modern Statistics", Springer Proceedings in Mathematics &amp; Statistics, to appear 2022</t>
  </si>
  <si>
    <t>https://doi.org/10.48550/arXiv.2108.11915</t>
  </si>
  <si>
    <t>https://doi.org/10.1016/j.jmva.2021.104881</t>
  </si>
  <si>
    <t>J Bender, A Petukhina (2022) Portfolio Diversification based on Risk Profile Clustering, submitted</t>
  </si>
  <si>
    <t>http://dx.doi.org/10.2139/ssrn.3699345</t>
  </si>
  <si>
    <t>Germany/Romania</t>
  </si>
  <si>
    <t>https://doi.org/10.1080/1351847X.2021.1960403</t>
  </si>
  <si>
    <t>https://doi.org/10.1007/978-3-031-15743-1_11</t>
  </si>
  <si>
    <r>
      <rPr>
        <color rgb="FF000000"/>
        <sz val="10.0"/>
        <u/>
      </rPr>
      <t>@InProceedings{PisoniKherboucheMolnar2022,
  author           = {Galena Pisoni and Meriem Kherbouche and Bálint Molnár},
  booktitle        = {4th International Congress on Blockchain and Applications},
  title            = {Blockchain-based business process management (BPM) for finance: the case of loan-application},
  year             = {2022},
  address          = {University of L'Aquila Department of Human Sciences Viale Nizza, 14, 67100 L'Aquila AQ, Italy},
  month            = jul,
  publisher        = {Springer International Publishing},
  comments         = {accepted},
  eprint           = {</t>
    </r>
    <r>
      <rPr>
        <color rgb="FF1155CC"/>
        <sz val="10.0"/>
        <u/>
      </rPr>
      <t>https://www.researchgate.net/publication/362223415_Blockchain-based_business_process_management_BPM_for_finance_the_case_of_loan-application</t>
    </r>
    <r>
      <rPr>
        <color rgb="FF000000"/>
        <sz val="10.0"/>
        <u/>
      </rPr>
      <t>},
  modificationdate = {2022-09-11T11:19:10},
  url              = {https://link.springer.com/conference/blockchain},
}</t>
    </r>
  </si>
  <si>
    <t>https://doi.org/10.1007/s42521-022-00066-6</t>
  </si>
  <si>
    <t>https://doi.org/10.1016/j.ijforecast.2022.01.005</t>
  </si>
  <si>
    <t>Coroneo, L., Iacone, F., Paccagnini, A., &amp; Monteiro, P. S. (2022). Testing the predictive accuracy of COVID-19 forecasts. International journal of forecasting.</t>
  </si>
  <si>
    <t>https://doi.org/10.1016/j.jcomm.2021.100240</t>
  </si>
  <si>
    <t>Kwas, M., Paccagnini, A., &amp; Rubaszek, M. (2022). Common factors and the dynamics of cereal prices. A forecasting perspective. Journal of Commodity Markets, 100240.</t>
  </si>
  <si>
    <t>https://doi.org/10.1016/j.resourpol.2021.102319</t>
  </si>
  <si>
    <t>Kwas, M., Paccagnini, A., &amp; Rubaszek, M. (2021). Common factors and the dynamics of industrial metal prices. A forecasting perspective. Resources Policy, 74, 102319.</t>
  </si>
  <si>
    <t>https://doi.org/10.1016/j.ijforecast.2020.10.002</t>
  </si>
  <si>
    <t>Arvanitis, S., Post, T. Potì, V. and S. Karabati, Nonparametric tests for Optimal Predictive Ability, International Journal of Forecasting, Volume 37, Issue 2, 2021, Pages 881-898.</t>
  </si>
  <si>
    <t>https://doi.org/10.1016/j.ijforecast.2021.11.001</t>
  </si>
  <si>
    <t>Petropoulos, Fotios, et al. "Forecasting: theory and practice." International Journal of Forecasting (2022).</t>
  </si>
  <si>
    <t>https://doi.org/10.3390/forecast3030030</t>
  </si>
  <si>
    <t>Paccagnini, A. (2021). Editorial for Special Issue “New Frontiers in Forecasting the Business Cycle and Financial Markets”. Forecasting, 3(3), 498-500.</t>
  </si>
  <si>
    <t>https://doi.org/10.1007/s10551-021-04842-z</t>
  </si>
  <si>
    <t>Bredin, D., Potì, V. &amp; Salvador, E. Food Prices, Ethics and Forms of Speculation. J Bus Ethics 179, 495–509 (2022).</t>
  </si>
  <si>
    <t>https://doi.org/10.1016/j.econlet.2022.110734</t>
  </si>
  <si>
    <t>Caferra, R., Morone, A. and V. Potì, Crypto-environment network connectivity and Bitcoin returns distribution tail behaviour, Economics Letters, Volume 218, 2022.</t>
  </si>
  <si>
    <t>https://doi.org/10.1007/s42521-022-00060-y</t>
  </si>
  <si>
    <t>https://dx.doi.org/10.2139/ssrn.4173890</t>
  </si>
  <si>
    <t>Bussmann, N., Tanda, A., &amp; Yu, E. P. Y. (2022). Can ESG Shape Cost of Capital? A Bibliometric Review and Empirical Analysis Through ML. A Bibliometric Review and Empirical Analysis Through ML (July 27, 2022).</t>
  </si>
  <si>
    <t>https://doi.org/10.1016/j.frl.2022.103411</t>
  </si>
  <si>
    <t>alberto.citterio@uninsubria.it</t>
  </si>
  <si>
    <t>Citterio A., King T. (2022) The role of Environmental, Social, and Governance (ESG) in predicting bank financial distress</t>
  </si>
  <si>
    <t>italy</t>
  </si>
  <si>
    <t>https://doi.org/10.1007/s42521-022-00055-9</t>
  </si>
  <si>
    <t>https://doi.org/10.1016/j.eswa.2021.116261</t>
  </si>
  <si>
    <t>https://doi.org/10.1016/j.frl.2022.102941</t>
  </si>
  <si>
    <t>https://doi.org/10.1016/j.eswa.2020.114104</t>
  </si>
  <si>
    <t>na</t>
  </si>
  <si>
    <t>(2022). David Aristei, Silvia Bacci, Manuela Gallo, Maria Iannario. Multidimensional latent mixed models for don’t know responses in panel data</t>
  </si>
  <si>
    <t>ctaranto@unipv.it</t>
  </si>
  <si>
    <t>(2022) Facchinetti, S., Osmetti, S. e Tarantola, C. A statistical approach for assessing cyber risk via ordered response models.</t>
  </si>
  <si>
    <t>https://doi.org/10.1007/s42521-022-00062-w</t>
  </si>
  <si>
    <t>Kabasinskas, A. Discussion on: “Programmable money: next generation blockchain based conditional payments” by Ingo Weber and Mark Staples. Digit Finance 4, 135 (2022). https://doi.org/10.1007/s42521-022-00062-w</t>
  </si>
  <si>
    <t>https://doi.org/10.3390/math9172086</t>
  </si>
  <si>
    <t>Serapinaitė, V.; Kabašinskas, A. Clustering of Latvian Pension Funds Using Convolutional Neural Network Extracted Features. Mathematics 2021, 9, 2086. https://doi.org/10.3390/math9172086</t>
  </si>
  <si>
    <t>https://doi.org/10.3389/frai.2022.827584</t>
  </si>
  <si>
    <t>Cerneviciene J and Kabašinskas A (2022) Review of Multi-Criteria Decision-Making Methods in Finance Using Explainable Artificial Intelligence. Front. Artif. Intell. 5:827584. doi: 10.3389/frai.2022.827584</t>
  </si>
  <si>
    <t xml:space="preserve">https://doi.org/10.15388/DAMSS.13.2022 </t>
  </si>
  <si>
    <t xml:space="preserve">Černevičienė, Jurgita; Kabašinskas, Audrius. On multi-criteria decision-making methods in finance using explainable artificial intelligence // DAMSS 2022: 13th conference on data analysis methods for software systems, Druskininkai, Lithuania, December 1–3, 2022 / Lithuanian computer society, Vilnius university Institute of data science and digital technologies, Lithuanian academy of sciences. Vilnius : Vilnius university press, 2022. ISBN 9786090707944. eISBN 9786090707951. p. 15. (Vilnius university proceedings,
eISSN 2669-0233). 
</t>
  </si>
  <si>
    <t>https://doi.org/10.1007/s42521-022-00065-7</t>
  </si>
  <si>
    <t>https://doi.org/10.1016/j.apenergy.2022.119182</t>
  </si>
  <si>
    <t>Ahmad Amine Loutfi, Mengtao Sun, Ijlal Loutfi and Per Bjarte Solibakke, (2022), Empirical study of day-ahead electricity spot-price forecasting: Insights into a novel loss function for training neural networks</t>
  </si>
  <si>
    <t>https://doi.org/10.3390/en15103839</t>
  </si>
  <si>
    <t>Solibakke, Per Bjarte, (2022), Projecting and Forecasting Stochastic Volatility Characteristics for the Nasdaq OMX Nordic/Baltic Financial Electricity Markets</t>
  </si>
  <si>
    <t>https://doi.org/10.1504/IJCEE.2021.10043332</t>
  </si>
  <si>
    <t>Solibakke, Per Bjarte, (2022), Bootstrapped Nonlinear Impulse-Response Analysis: The FTSE100 (UK) and the NDX100 (US) Indices 2012-2021</t>
  </si>
  <si>
    <t>https://doi.org/10.1007/978-3-030-56219-9_9</t>
  </si>
  <si>
    <t>Solibakke, Per Bjarte, (2020), Stochastic Volatility Models Predictive Relevance for Equity Market</t>
  </si>
  <si>
    <t>https://doi.org/10.3389/frai.2021.718450</t>
  </si>
  <si>
    <t>Karimov Bedil and Wójcik Piotr (2021), Frontiers in Artificial Intelligence, section Artificial Intelligence in Finance</t>
  </si>
  <si>
    <t>https://doi.org/10.1007/978-3-031-16474-3_40</t>
  </si>
  <si>
    <t>C. Silva, B. Ribeiro and A. Morais, A Generic Approach to Extend Interpretability of Deep Networks, in Progress in Artificial Intelligence, pp. 488–499-488–499, 2022</t>
  </si>
  <si>
    <t>10.1007/978-3-030-93286-2_7</t>
  </si>
  <si>
    <t>https://doi.org/10.1007/978-981-16-2765-1_6</t>
  </si>
  <si>
    <t>https://doi.org/10.3390/risks9060116</t>
  </si>
  <si>
    <t>codruta.mare@econ.ubbcluj.ro</t>
  </si>
  <si>
    <t>https://doi.org/10.3390/risks9060104</t>
  </si>
  <si>
    <t>https://doi.org/10.3390/math10193625 (registering DOI)</t>
  </si>
  <si>
    <t>Mare, C.; Manaţe, D.; Mureşan, G.-M.; Dragoş, S.L.; Dragoş, C.M.; Purcel, A.-A. Machine Learning Models for Predicting Romanian Farmers’ Purchase of Crop Insurance. Mathematics 2022, 10, 3625. https://doi.org/10.3390/math10193625</t>
  </si>
  <si>
    <t>https://doi.org/10.1007/s10198-022-01506-1</t>
  </si>
  <si>
    <t>no, problems in the publishing process, waiting for the journal to correct the mistake</t>
  </si>
  <si>
    <r>
      <rPr>
        <rFont val="Arial"/>
        <color rgb="FF333333"/>
        <sz val="12.0"/>
      </rPr>
      <t xml:space="preserve">Mureșan, GM., Văidean, VL., Mare, C. et al. Were we happy and we didn’t know it? A subjective dynamic and financial assessment pre-, during and post-COVID-19. Eur J Health Econ (2022). </t>
    </r>
    <r>
      <rPr>
        <rFont val="Arial"/>
        <color rgb="FF1155CC"/>
        <sz val="12.0"/>
        <u/>
      </rPr>
      <t>https://doi.org/10.1007/s10198-022-01506-1</t>
    </r>
  </si>
  <si>
    <t>doi.org/10.15308/finiz-2020-97-102</t>
  </si>
  <si>
    <t>https://doi.org/10.1016/j.ipm.2021.102848</t>
  </si>
  <si>
    <t>Hudec M., Mináriková E., Schwarz D., Fivaz J. (2022). Estimating linguistic summaries on the unit interval data. WCCI2022 IEEE World Congress on Computational Intelligence, Padua, July 18-23 (expected in WoS, Scopus and IEEE eXplore),</t>
  </si>
  <si>
    <t>Slovakia and Serbia</t>
  </si>
  <si>
    <t>https://doi.org/10.1016/j.elerap.2021.101079</t>
  </si>
  <si>
    <t>Ariza-Garzón, M.J., Camacho-Miñano, M.M., Segovia-Vargas, M.J., Arroyo, J. (2021) "Risk-return modelling in the p2p lending market: Trends, gaps, recommendations and future directions". Electronic Commerce Research and Applications, Volume 49, 101079.</t>
  </si>
  <si>
    <t>https://doi.org/10.1186/s40854-021-00310-9</t>
  </si>
  <si>
    <t>Lorenzo, L., Arroyo, J. (2022) "Analysis of the cryptocurrency market using different prototype-based clustering techniques". Financial Innovation 8, 7.</t>
  </si>
  <si>
    <t>https://doi.org/10.1007/s42521-022-00063-9</t>
  </si>
  <si>
    <t>joerg.osterrieder@bfh.ch</t>
  </si>
  <si>
    <t>https://doi.org/10.2139/ssrn.3796351</t>
  </si>
  <si>
    <t>https://doi.org/10.3389/frai.2021.668465</t>
  </si>
  <si>
    <t>https://doi.org/10.2139/ssrn.3865019</t>
  </si>
  <si>
    <t>https://doi.org/10.2139/ssrn.3867800</t>
  </si>
  <si>
    <t>https://doi.org/10.2139/ssrn.3864965</t>
  </si>
  <si>
    <t>https://doi.org/10.2139/ssrn.3864867</t>
  </si>
  <si>
    <t>https://doi.org/10.2139/ssrn.3898792</t>
  </si>
  <si>
    <t>https://doi.org/10.3389/frai.2021.794996</t>
  </si>
  <si>
    <t>https://doi.org/10.2139/ssrn.3858730</t>
  </si>
  <si>
    <t>https://doi.org/10.2139/ssrn.4087569</t>
  </si>
  <si>
    <t>https://doi.org/10.3905/jfds.2022.1.109</t>
  </si>
  <si>
    <t>https://doi.org/10.3905/jfds.2021.1.078</t>
  </si>
  <si>
    <t>https://www.suerf.org/docx/f_b3101eef45fdacc2076e2043d1b3c39f_43507_suerf.pdf</t>
  </si>
  <si>
    <t>Hillebrand, Martin and Mravlak, Marko and Schwendner, Peter: "Investor demand in syndicated bond issuances: stylised facts" (April 2022). SUERF Policy Brief No 308. Available at www.suerf.org/suer-policy-brief/43507/investor-demand-in-syndicated-bond-issuances-stylised-facts</t>
  </si>
  <si>
    <t>UK</t>
  </si>
  <si>
    <t>https://doi.org/10.1111/corg.12454</t>
  </si>
  <si>
    <t>https://dx.doi.org/10.2139/ssrn.3890364</t>
  </si>
  <si>
    <t>https://dx.doi.org/10.2139/ssrn.4227111</t>
  </si>
  <si>
    <t>DOI</t>
  </si>
  <si>
    <t>COST acknowledgement</t>
  </si>
  <si>
    <t>Sajter, D. (2022, May 5–6). Overseas Transaction Fees: Sending Money via Bitcoin vs. Banks [Paper presentation]. Technology, Innovation and Stability: New Directions in Finance (TINFIN), Zagreb, Croatia.</t>
  </si>
  <si>
    <t>Gulija, B., Kammel, A., &amp; Payr, T. (2022, May 5–6). Prudential Regulation of Fintechs [Paper presentation]. Technology, Innovation and Stability: New Directions in Finance (TINFIN), Zagreb, Croatia.</t>
  </si>
  <si>
    <t>Simurina, N., Kurnoga, N., &amp; Fuckan, F. (2022, May 5–6). Performance differences between ESG indices and traditional indices [Paper presentation]. Technology, Innovation and Stability: New Directions in Finance (TINFIN), Zagreb, Croatia.</t>
  </si>
  <si>
    <t>Dzelalija, P., &amp; Ivanisevic Hernaus, A. (2022, August 22–24). From perceived mobility to the intention to use mobile payments: A moderated mediation analysis [Paper presentation]. FinanceCom 2022: 11th International Workshop, Enterprise Applications, Markets and Services in the Finance Industry, University of Twente, the Netherlands.</t>
  </si>
  <si>
    <t>Ivanisevic Hernaus, A., Kristo, J., &amp; Rako, R. (2022, May 5–6). ESG-Related Challenges in the Insurance Industry: A Multi-stakeholder Perspective [Paper presentation]. Technology, Innovation and Stability: New Directions in Finance (TINFIN), Zagreb, Croatia.</t>
  </si>
  <si>
    <t>https://doi.org/10.48550/arXiv.2204.02757</t>
  </si>
  <si>
    <t>K Khowaja, M Shcherbatyy, WK Härdle (2021) Surrogate Models for Optimization of Dynamical Systems, "Foundations of Modern Statistics", Springer Proceedings in Mathematics &amp; Statistics, to appear 2022</t>
  </si>
  <si>
    <t>@InProceedings{PisoniKherboucheMolnar2022,
 author = {Galena Pisoni and Meriem Kherbouche and Bálint Molnár},
 booktitle = {4th International Congress on Blockchain and Applications},
 title = {Blockchain-based business process management (BPM) for finance: the case of loan-application},
 year = {2022},
 address = {University of L'Aquila Department of Human Sciences Viale Nizza, 14, 67100 L'Aquila AQ, Italy},
 month = jul,
 publisher = {Springer International Publishing},
 comments = {accepted},
 eprint = {https://www.researchgate.net/publication/362223415_Blockchain-based_business_process_management_BPM_for_finance_the_case_of_loan-application},
 modificationdate = {2022-09-11T11:19:10},
 url = {https://link.springer.com/conference/blockchain},
 }</t>
  </si>
  <si>
    <t>Mureșan, GM., Văidean, VL., Mare, C. et al. Were we happy and we didn’t know it? A subjective dynamic and financial assessment pre-, during and post-COVID-19. Eur J Health Econ (2022). https://doi.org/10.1007/s10198-022-01506-1</t>
  </si>
  <si>
    <t>Kosovo</t>
  </si>
  <si>
    <t>DOI: 10.7441/dokbat.2021.42</t>
  </si>
  <si>
    <t xml:space="preserve">Shala, A., &amp; Berisha, V., " Analysis of FinTech in the banking industry: Opportunities and challenges in Central and Eastern European Countries" </t>
  </si>
  <si>
    <t>DOI: 10.47743/ejes-2021-0103</t>
  </si>
  <si>
    <t>Shala, A., &amp; Qehaja, A.B. "Bank provisioning behavior, procyclicality and capital management in south-eastern Europe"</t>
  </si>
  <si>
    <t>DOI: 10.18045/zbefri.2020.2.429</t>
  </si>
  <si>
    <t>Shala, A., Toci,V.,Ahmeti, S., "Income smoothing through loan loss provisions in south and eastern european banks"</t>
  </si>
  <si>
    <t>DOI: 10.11118/actaun201866051337</t>
  </si>
  <si>
    <t>Shala, A., Ismalji, H.&amp; Perri, Rr "A comparative study of prudential regulation on loan classification and provisioning of the South East European countries"</t>
  </si>
  <si>
    <r>
      <rPr/>
      <t xml:space="preserve">DOI: </t>
    </r>
    <r>
      <rPr>
        <color rgb="FF1155CC"/>
        <u/>
      </rPr>
      <t>https://doi.org/10.31577/ekoncas.2022.05.02</t>
    </r>
  </si>
  <si>
    <t>Shala, A., Toci, V., &amp; Mustafa A., "Macroeconomic, Structural, and Bank-specific Determinants of Non-performing Loans in Central and Eastern Europe"</t>
  </si>
  <si>
    <t>DOI: 10.31577/ekoncas.2021.01.01</t>
  </si>
  <si>
    <t>Shala, A. Toci, V. "Bank provisioning behavior, procyclicality and capital management in south-eastern Europe"</t>
  </si>
  <si>
    <t>https://sites.google.com/net.efzg.hr/tinfinconference/programme/book-of-abstracts</t>
  </si>
  <si>
    <t>Shala, A. Toci, V. " Risks of Fintech companies to Financial Stability: Regulatory and Supercision Practices in Central and Eastern Europe"</t>
  </si>
  <si>
    <t>Research proposals Submitted (granted, under evaluation, rejected. Please list all)</t>
  </si>
  <si>
    <t>Title</t>
  </si>
  <si>
    <t>Name and country of main proposer</t>
  </si>
  <si>
    <t>Number of proposers</t>
  </si>
  <si>
    <t>Action participants listed among the proposers: Name</t>
  </si>
  <si>
    <t>Action participants listed among the proposers: Country</t>
  </si>
  <si>
    <t>Proposers outside academia (Yes/ No)</t>
  </si>
  <si>
    <t>Funder (EU H2020, other EU, Trans-national, National, Industry, Other)</t>
  </si>
  <si>
    <t>Amount requested/ Granted (in EUR)</t>
  </si>
  <si>
    <t>Call identifier</t>
  </si>
  <si>
    <t>Year submitted</t>
  </si>
  <si>
    <t>Result (Under Evaluation, Not Funded, Funded)</t>
  </si>
  <si>
    <t>mandatory</t>
  </si>
  <si>
    <t>Defence and Security of the Nation (Nemzetvédelem, nemzetbiztonság alprogram (NVA)), sub-project for Finance and AI</t>
  </si>
  <si>
    <t>Hungary, Eötvös Loránd Tudományegyetem</t>
  </si>
  <si>
    <t>Bálint Molnár</t>
  </si>
  <si>
    <t>NATIONAL, NKFIH</t>
  </si>
  <si>
    <t>1 200 000 000 FT</t>
  </si>
  <si>
    <t xml:space="preserve">TKP2021-NVA-29, https://nkfih.gov.hu/palyazoknak/nkfi-alap/tamogatott-intezmenyek-tkp2021 </t>
  </si>
  <si>
    <t>Funded</t>
  </si>
  <si>
    <t xml:space="preserve">Bulgaria </t>
  </si>
  <si>
    <r>
      <rPr>
        <sz val="10.0"/>
      </rPr>
      <t xml:space="preserve">Flying Forest Fires Fighting (4F), EU project, “Emerging industries new value chains boosted by small Flying Objects” (UFO), financed by the INNOSUP component of the HORIZON 2020 programme of the European Commission under Grant Agreement 873411, </t>
    </r>
    <r>
      <rPr>
        <color rgb="FF1155CC"/>
        <sz val="10.0"/>
        <u/>
      </rPr>
      <t>https://eic.ec.europa.eu/news/ufo-emerging-industries-new-value-chains-boosted-small-flying-objects-2022-02-22_en</t>
    </r>
    <r>
      <rPr>
        <sz val="10.0"/>
      </rPr>
      <t xml:space="preserve">, smart service creation </t>
    </r>
  </si>
  <si>
    <t>Bulgaria, Comicon Ltd., Aleksandar Savov</t>
  </si>
  <si>
    <t xml:space="preserve">Rossitza Goleva </t>
  </si>
  <si>
    <t xml:space="preserve">yes </t>
  </si>
  <si>
    <t>EU H2020</t>
  </si>
  <si>
    <t>Grant Agreement 873411</t>
  </si>
  <si>
    <t xml:space="preserve">Funded  </t>
  </si>
  <si>
    <t>CRYPTO-CURRENCIES AND NORDIC YOUTH</t>
  </si>
  <si>
    <t>Roman Matkovskyy, France</t>
  </si>
  <si>
    <t>Roman Matkovskyy, Akanksha Jalan</t>
  </si>
  <si>
    <t>Trans-national, Nasdaq</t>
  </si>
  <si>
    <t>OEE Grand call 2022</t>
  </si>
  <si>
    <t>funded</t>
  </si>
  <si>
    <t>Youth savings behaviours: CRYPTOCURRENCIES AND THE EUROPEAN YOUTH</t>
  </si>
  <si>
    <t xml:space="preserve">National </t>
  </si>
  <si>
    <t>Grand call 2023</t>
  </si>
  <si>
    <t>under evaluation</t>
  </si>
  <si>
    <t>Gearing up for change (cryptocurrencies)</t>
  </si>
  <si>
    <t>Roman Matkovskyy, Akanksha Jalan and Raouf Boucekkine</t>
  </si>
  <si>
    <t>ANR</t>
  </si>
  <si>
    <t>rejected</t>
  </si>
  <si>
    <t>Enhancing Women’s empowerment through Small and Big data (W_STEM)</t>
  </si>
  <si>
    <t>Claudia Tarantola, Italy</t>
  </si>
  <si>
    <t>Claudia Tarantola, Maria Iannario, Alessandra Tanda,  Alessia Paccagnini; Codruta Mare</t>
  </si>
  <si>
    <t>Italy, Ireland, Romania</t>
  </si>
  <si>
    <t>KA220-HED</t>
  </si>
  <si>
    <t>KA220-HED - Cooperation partnerships in higher education</t>
  </si>
  <si>
    <t>Not Funded</t>
  </si>
  <si>
    <t>Latent variable models for complex categorical data structures (LAICS)</t>
  </si>
  <si>
    <t>Maria Iannario, Italy</t>
  </si>
  <si>
    <t>Maria Iannario</t>
  </si>
  <si>
    <t>National</t>
  </si>
  <si>
    <t>39.925,02 €</t>
  </si>
  <si>
    <t xml:space="preserve">Italy </t>
  </si>
  <si>
    <t>Latent variable models and dimensionality reduction methods for complex data</t>
  </si>
  <si>
    <t>PRIN2022</t>
  </si>
  <si>
    <t>Netherlands/Spain/Italy/Belgium</t>
  </si>
  <si>
    <t>ABC-EU-XVA</t>
  </si>
  <si>
    <t>Kees Oosterlee, Netherlands</t>
  </si>
  <si>
    <t>Kees Oosterlee, Carlos Vázquez</t>
  </si>
  <si>
    <t>Netherlands,Spain,Italy,Belgium</t>
  </si>
  <si>
    <t>EU H2020, MSCA EID-ITN Call</t>
  </si>
  <si>
    <t>HORIZON2020-MCSA-ITN-2018-EID  (Grant agreemente 813261)</t>
  </si>
  <si>
    <t>Machine Learning and Spatial Econometrics Deevelopments in Finance: the impact of Financial and Digital Literacy. Romania in International Context</t>
  </si>
  <si>
    <t>Codruta Mare, Romania</t>
  </si>
  <si>
    <t>Ioana Coita, Stefana Belbe</t>
  </si>
  <si>
    <t>PN-III-P1-1_1-TE-2021</t>
  </si>
  <si>
    <t>Using alternative data to buidlind risk scoring tools for the lending sector</t>
  </si>
  <si>
    <t>Coita Ioana, Romania</t>
  </si>
  <si>
    <t>Coita Ioana</t>
  </si>
  <si>
    <t>EU2020</t>
  </si>
  <si>
    <t>60.000EUR</t>
  </si>
  <si>
    <t xml:space="preserve">Building Tax Research platform for risk analysis in the banking secotor </t>
  </si>
  <si>
    <t>Coita Ioana, Codruta Mare, Romania</t>
  </si>
  <si>
    <t>EU funding</t>
  </si>
  <si>
    <t>200.000 EUR</t>
  </si>
  <si>
    <t>Erasmus+ project KA220-HED - Cooperation partnerships in higher education, KA220-HED-0B76953E - Enhancing Women’s empowerment through Small and Big Data (W_STEM),</t>
  </si>
  <si>
    <t>Explainable AI methods for riskmanagement of FinTechs</t>
  </si>
  <si>
    <t>Natalie Packham, Germany</t>
  </si>
  <si>
    <t>N Packham, A Petukhina</t>
  </si>
  <si>
    <t>IFAF Berlin call 2022</t>
  </si>
  <si>
    <t>Blockchain Research Center</t>
  </si>
  <si>
    <t>WK Härdle, Germany</t>
  </si>
  <si>
    <t>Daniel Pele, Claudio Tessone</t>
  </si>
  <si>
    <t>Berlin Universisty alliance</t>
  </si>
  <si>
    <t>IRTG 1792 extension 2022.10-2023.3</t>
  </si>
  <si>
    <t>DFG</t>
  </si>
  <si>
    <t>LASSA: discovering aberrant opinions, making minorities visible and reducing gender bias via principal expectiles</t>
  </si>
  <si>
    <t>Maria Osipenko, HWR</t>
  </si>
  <si>
    <t>Digital Asset Knowledge Proliferation (DAKP)</t>
  </si>
  <si>
    <t>ZHOU Chao, Singapore</t>
  </si>
  <si>
    <t>WK Härdle, V Strat, R Matkovskyy, HW Teng</t>
  </si>
  <si>
    <t>Trans-National</t>
  </si>
  <si>
    <t>NUS Asian Institute of Digital finance</t>
  </si>
  <si>
    <t>FinData: Financial data science Doctoral Network</t>
  </si>
  <si>
    <t>Valerio Poti, Ireland</t>
  </si>
  <si>
    <t>Valerio Poti, Joerg Osterrieder, Branka Hadji Misheva, WK Härdle and several others</t>
  </si>
  <si>
    <t>Ireland, Switzerland, Germany</t>
  </si>
  <si>
    <t>H2020-MSCA-ITN-2020</t>
  </si>
  <si>
    <t>HDFinance: High Dimensional Finance: joint challenge for academia and industry</t>
  </si>
  <si>
    <t>EU Horizon Europe</t>
  </si>
  <si>
    <t>HORIZON-MSCA-2021-DN-01</t>
  </si>
  <si>
    <t>Czechia</t>
  </si>
  <si>
    <t xml:space="preserve">Accelerating growth and stability of European P2P Lending </t>
  </si>
  <si>
    <t>Štefan Lyócsa, Czechia</t>
  </si>
  <si>
    <t xml:space="preserve">Oleg Deev, Tomáš Plíhal, Peter Schwendner, Joerg Osterrieder, Branka Hadji Misheva </t>
  </si>
  <si>
    <t>Switzerland, Czechia</t>
  </si>
  <si>
    <t>Czech Science Foundation and SNSF Lead Agency</t>
  </si>
  <si>
    <t xml:space="preserve">Network-based credit risk models on P2p lending markets </t>
  </si>
  <si>
    <t>Eduard Baumöhl, Czechia</t>
  </si>
  <si>
    <t xml:space="preserve">Štefan Lyócsa, Oleg Deev, Tomáš Plíhal, Peter Schwendner, Joerg Osterrieder, Branka Hadji Misheva </t>
  </si>
  <si>
    <t>Innovation voucher for CCF Research</t>
  </si>
  <si>
    <t>Tomáš Plíhal, Czechia</t>
  </si>
  <si>
    <t>Štefan Lyócsa, Oleg Deev</t>
  </si>
  <si>
    <t>Ministry of Industry and Trade, Czechia</t>
  </si>
  <si>
    <t>Analytical Platform 2.0</t>
  </si>
  <si>
    <t>Technological Agency of the Czech Republic</t>
  </si>
  <si>
    <t>Blockchain Fraud Detection</t>
  </si>
  <si>
    <t>Joerg Osterrieder, Switzerland</t>
  </si>
  <si>
    <t>Branka Hadji Misheva, Joerg Osterrieder, Stephen Chan</t>
  </si>
  <si>
    <t>Switzerland, UAE</t>
  </si>
  <si>
    <t>MENA Leading House</t>
  </si>
  <si>
    <t>The Paradox of Digital Finance: Financial Inclusion vs. Exclusion</t>
  </si>
  <si>
    <t>Aneta Korosteleva, Poland</t>
  </si>
  <si>
    <t>WK Härdle, Peter Schwendner, Jörg osterrieder</t>
  </si>
  <si>
    <t>CHANSE ERA-NET</t>
  </si>
  <si>
    <t>Controllable synthetic scenarios for explainable systematic strategies (SNF COST)</t>
  </si>
  <si>
    <t>Peter Schwendner, Switzerland</t>
  </si>
  <si>
    <t>Peter Schwendner, Marcus Wunsch</t>
  </si>
  <si>
    <t>SNF COST</t>
  </si>
  <si>
    <t xml:space="preserve">Netherlands  </t>
  </si>
  <si>
    <t>Digital Finance</t>
  </si>
  <si>
    <t>Joerg Osterrieder, Netherlands, Branka Hadji Misheva, Switzerland</t>
  </si>
  <si>
    <t>Sinem Bağçe &lt;sinem.bagce@khas.edu.tr&gt;; Barsotti, F. (Flavia &lt;Flavia.Barsotti@ing.com&gt;; Autar, A. (Anand &lt;Anand.Autar@ing.com&gt;; Akın Karcı &lt;akin.karci@khas.edu.tr&gt;; Andrew Farrugia &lt;andrew.farrugia@umnai.com&gt;; akanksha.jalan@rennes-sb.com; Hadji Misheva Branka &lt;branka.hadjimisheva@bfh.ch&gt;; luciana.dallavalle@plymouth.ac.uk; maria.iannario@unina.it; Machado, Marcos (UT-BMS) &lt;m.r.machado@utwente.nl&gt;; Svetlova, Ekaterina (UT-BMS) &lt;e.svetlova@utwente.nl&gt;; Abhishta, Abhishta (UT-BMS) &lt;s.abhishta@utwente.nl&gt;; Heeswijk, Wouter van (UT-BMS) &lt;w.j.a.vanheeswijk@utwente.nl&gt;; Vijaya Bhaskar, Vijay (UT-BMS) &lt;v.b.marisetty@utwente.nl&gt;; Ioana-Florina Coita &lt;coita.iflorina@gmail.com&gt;; 'Peter SCHWENDNER' &lt;scwp@zhaw.ch&gt;; Hopp Christian &lt;christian.hopp@bfh.ch&gt;; emiris@athenarc.gr; giann@athenarc.gr; dalamag@athenarc.gr; audrius.kabasinskas@ktu.lt; rgoleva@gmail.com; loizos@ouc.ac.cy; belma.ozturkkal@khas.edu.tr; antoni.jaume@uib.es; Ida Ivanová | OVaDŠ EU v Bratislave &lt;ida.ivanova@euba.sk&gt;; kwtrwn@gmail.com; roman.matkovskyy@rennes-sb.com; molnarba@inf.elte.hu; jana.peliova@euba.sk; allapetukhina@icloud.com; haerdle@hu-berlin.de; rui.ren.magic@gmail.com; Tuan Trinh &lt;tuan.trinh@eitdigital.eu&gt;; Codruta Mare &lt;codruta.mare@gmail.com&gt;; danpele@ase.ro; Angele GIULIANO - AcrossLimits &lt;angele@acrosslimits.com&gt;; senfer@acrosslimits.com; Stefan Lessmann &lt;stefan.lessmann@hu-berlin.de&gt;; Christina Erlwein-Sayer &lt;Christina.Erlwein-Sayer@HTW-Berlin.de&gt;; Kristina Sutiene &lt;kristina.sutiene@ktu.lt&gt;; Massimo Preziuso &lt;maxpreziuso@gmail.com&gt;; Mattia Bellotti &lt;mattia.bellotti@eitdigital.eu&gt;; Krisztián Gál &lt;krisztian.gal@eitdigital.eu&gt;; Hochreiter, Ronald &lt;Ronald.Hochreiter@wu.ac.at&gt;; Stefan Lessmann &lt;stefan.lessmann@outlook.de&gt;; barbara.bedowska-sojka@ue.poznan.pl; ronald@kleverlaan.com; Kurpisz Adam Andrzej &lt;adam.kurpisz@bfh.ch&gt;</t>
  </si>
  <si>
    <t>Netherlands, Switzerland, Germany, Romania, UK, Italy, Malta, France, Spain</t>
  </si>
  <si>
    <t>HORIZON-MSCA-2022-DN-01-01</t>
  </si>
  <si>
    <t>Sustainable Finance</t>
  </si>
  <si>
    <t>Joerg Osterrieder, Branka Hadji Misheva</t>
  </si>
  <si>
    <t>Innosuisse</t>
  </si>
  <si>
    <t>Digital Finance and Reinforcement Learning</t>
  </si>
  <si>
    <t>Currency Hedging</t>
  </si>
  <si>
    <t>Blockchain</t>
  </si>
  <si>
    <t>Human-machine centered collaboration to crowdsource insights</t>
  </si>
  <si>
    <t>Conference Series on AI in Finance</t>
  </si>
  <si>
    <t>Blockchain and Fraud Detection</t>
  </si>
  <si>
    <t xml:space="preserve">SNF </t>
  </si>
  <si>
    <t>AI in Finance</t>
  </si>
  <si>
    <t>Joerg Osterrieder</t>
  </si>
  <si>
    <t>Industry</t>
  </si>
  <si>
    <t xml:space="preserve">Network-based credit risk models on P2P lending markets </t>
  </si>
  <si>
    <t>Branka Hadji Misheva, Switzerland</t>
  </si>
  <si>
    <t>SNSF Lead Agency</t>
  </si>
  <si>
    <t>Digital Narratives</t>
  </si>
  <si>
    <t>XAI in credit risk management</t>
  </si>
  <si>
    <t>Branka Hadji Misheva, Joerg Osterrieder, Alex Posth, Marc Wildi</t>
  </si>
  <si>
    <t>Ai-based scoring model</t>
  </si>
  <si>
    <t>Branka Hadji Misheva, Joerg Osterrieder, Alex Posth</t>
  </si>
  <si>
    <t>DataInc - Intelligent Data Integration and Cleaning</t>
  </si>
  <si>
    <t>Branka Hadji Misheva, Joerg Osterrieder</t>
  </si>
  <si>
    <t>Narrative Digital Finance: a tale of structural breaks, bubbles &amp; market narratives</t>
  </si>
  <si>
    <t>Jörg Osterrieder, Branka Hadji Misheva, Ali Hirsa, Valerio Poti, Petter Kolm, Petre Lameski, Oleg Deyev, Kristina Sutiene, Alessia Paccagnini, Javier Gallardo</t>
  </si>
  <si>
    <t xml:space="preserve">Switzerland, US, Ireland, North Macedonia, Czech Republic, Estonia, Spain, </t>
  </si>
  <si>
    <t>SNF</t>
  </si>
  <si>
    <t>Editorial boards of finance journals: gender and social connectedness</t>
  </si>
  <si>
    <t>Barbara Będowska-Sójka, Poland</t>
  </si>
  <si>
    <t>Barbara Będowska-Sójka, Esra Kabaklarli, Codruta Mare, Belma Ozturkkal,Alessia Paccagnini, Rezarta Perri, Albulena Shala, Hanna Kristín Skaftadóttir,Claudia Tarantola</t>
  </si>
  <si>
    <t>Poland, Italy, Turkey, Romania, Ireland, Iceland, Albania, Kosovo</t>
  </si>
  <si>
    <t>Women and Science Chair at Université Paris Dauphine - PSL</t>
  </si>
  <si>
    <t>Assessing Blockchain-based Decentralized Autonomous Organizations for managing DeFi, NFTs and Metaverse projects (DAOapplications)</t>
  </si>
  <si>
    <t>Javier Arroyo, Spain</t>
  </si>
  <si>
    <t>Javier Arroyo</t>
  </si>
  <si>
    <t>131000/93000</t>
  </si>
  <si>
    <t>Generación de Conocimiento 2021</t>
  </si>
  <si>
    <t>Financial literacy as an antidote to vulnerability: new measures and methods</t>
  </si>
  <si>
    <t>Sabrina Giordano, Italy</t>
  </si>
  <si>
    <t>Sabrina Giordano</t>
  </si>
  <si>
    <t>Fund to Support Research at University of Calabria</t>
  </si>
  <si>
    <t>Volatility Trading and Information Environment in Financial Markets (VTIEFM). Collaborative and knowledge building project.</t>
  </si>
  <si>
    <t>Per B Solibakke, Norway</t>
  </si>
  <si>
    <t>Akarsh Kainth and Per B Solibakke</t>
  </si>
  <si>
    <t>NO</t>
  </si>
  <si>
    <t>NFR</t>
  </si>
  <si>
    <t>Sustainable Investments and Risk Management (SIRM)</t>
  </si>
  <si>
    <t>NOT Fundex, new application 2023</t>
  </si>
  <si>
    <t>Women in Fintech European Datathon</t>
  </si>
  <si>
    <t>Albulena Shala, Kosovo</t>
  </si>
  <si>
    <t>Albulena Shala, Maria Iannario, Rrezerta Perri</t>
  </si>
  <si>
    <t>Kosovo, Italy, Albania</t>
  </si>
  <si>
    <t>Cost Action 13190</t>
  </si>
  <si>
    <t>Not Funded Yet</t>
  </si>
  <si>
    <t>Netherland</t>
  </si>
  <si>
    <t>Digital Finance - Reaching New Frontiers</t>
  </si>
  <si>
    <t xml:space="preserve">Joerg Osterrieder, Netherlands  </t>
  </si>
  <si>
    <t>Jörg Osterrieder, Jos van Hillegersberg, Laura Spierdijk, Martijn Mes,Marcos Machado, Vijay Marisetty, Ekaterina Svetlova, Wouter van Heswijk, Abhistha Abhistha, Bettina Grün, Kurt Hornik, Ronald Hochreiter, Wolfgang Härdle, Stefan Lessmann, Rui Ren, Maria Iannario, Francesco Palumbo, Antonio Pescapè, Alfonso Iodice D'Enza, Kristina Šutienė, Eimutis Valakevičius, Audrius Kabašinskas, Daniel Traian Pele, Adrian Costea, Vasile Strat, Codruța Mare, Monica Violeta Achim, Cristian Mihai Dragos, Gennaro Di Brino, Federico Giudici, Stefano Penazzi, Stefan Theußl, Simon Haller, Franz Xaver Zobl, Aidas Malakauskas, Tadas Gudaitis, Nerijus Mačiulis, Saulius Šimkonis, Marco Bianchetti, Demetrio Maffei, Pietro Nazario Virgili, Alberto Ferrario, Matteo Macera Zappavigna, Maurizio Di Noia, Michael Althof, Julian Winkel, Bruno Spilak, Branka Hadji Misheva, Christian Hopp, Adam Kurpisz, Ioannis Emiris, Theodore Dalamagas, Giorgos Giannopoulos, Mattia Bellotti, Tuan Trinh, Salvatore Moccia, Ralf Korn, Robert Buch, Stefanie Schwaar, Daniela Schackis, Lukasz Kubicki, Theodoros Mastrokostopoulos, Benjamin Sahel, Maia Köhler, Filippo Bartoli</t>
  </si>
  <si>
    <t>Netherlands, Switzerland, Germany, Italy, Lithuania, Romania</t>
  </si>
  <si>
    <t>other EU</t>
  </si>
  <si>
    <t>4000 000</t>
  </si>
  <si>
    <t>MSCA DN PLEASE ADD</t>
  </si>
  <si>
    <t>Under Evaluation</t>
  </si>
  <si>
    <t>Needed?(Y/N)</t>
  </si>
  <si>
    <t>Report</t>
  </si>
  <si>
    <t>Completed sections</t>
  </si>
  <si>
    <t>Missing sections</t>
  </si>
  <si>
    <t>Responsible</t>
  </si>
  <si>
    <t>Contact email</t>
  </si>
  <si>
    <t>Observations</t>
  </si>
  <si>
    <t>Reminder sent</t>
  </si>
  <si>
    <t>E-mail info updated until</t>
  </si>
  <si>
    <t>yes^</t>
  </si>
  <si>
    <t>5.1 Action Publications</t>
  </si>
  <si>
    <t>all others</t>
  </si>
  <si>
    <t>Joerg</t>
  </si>
  <si>
    <t>^country coordinator: Daniel Traian Pele (part of RO team)</t>
  </si>
  <si>
    <t>?</t>
  </si>
  <si>
    <t>3. Progress on MoU</t>
  </si>
  <si>
    <t>3; partly 4; 5.1</t>
  </si>
  <si>
    <t>1; 2; 5.3; 6; 7; 8; 9</t>
  </si>
  <si>
    <t>Bosnia-Hertegovina</t>
  </si>
  <si>
    <t>jelena.poljasevic@ef.unibl.org; igor.todorovic@ef.unibl.org</t>
  </si>
  <si>
    <t>2; 7</t>
  </si>
  <si>
    <t>1; 3; 4; 5; 6</t>
  </si>
  <si>
    <t>2; 7; 8; 9</t>
  </si>
  <si>
    <t>yes*</t>
  </si>
  <si>
    <t>*permission needed to open report</t>
  </si>
  <si>
    <t>3; 7</t>
  </si>
  <si>
    <t>others</t>
  </si>
  <si>
    <t>3; 5.1</t>
  </si>
  <si>
    <t>1; 2; 4; 5.3; 6; 7; 8; 9</t>
  </si>
  <si>
    <t>3; 4; 5; 6; 7; 8; 9</t>
  </si>
  <si>
    <t>1; 2</t>
  </si>
  <si>
    <t>2; 5</t>
  </si>
  <si>
    <t>1; 3; 4; 6; 7; 8; 9</t>
  </si>
  <si>
    <t>alla.petukhina@htw-berlin.de; haerdle@hu-berlin.de;</t>
  </si>
  <si>
    <t>veniarakelian@yahoo.com; giann@athenarc.gr; emiris@athenarc.gr</t>
  </si>
  <si>
    <t>tuan.trinh@eitdigital.eu; pelle@eco.u-szeged.hu</t>
  </si>
  <si>
    <t>hks7@hs.is</t>
  </si>
  <si>
    <t>3; 5</t>
  </si>
  <si>
    <t>rupelnargunam25@gmail.com;</t>
  </si>
  <si>
    <t>3; 4; 5</t>
  </si>
  <si>
    <t>1; 2; 6; 7; 8; 9</t>
  </si>
  <si>
    <t>alessia.paccagnini@ucd.ie;</t>
  </si>
  <si>
    <t>Israel</t>
  </si>
  <si>
    <t>3; 4; 7.1; 9</t>
  </si>
  <si>
    <t>1; 2;  5; 6; 7(other sections)</t>
  </si>
  <si>
    <t>daniele.marazzina@polimi.it;</t>
  </si>
  <si>
    <t>Kosovo*</t>
  </si>
  <si>
    <t>kristina.sutiene@ktu.lt; audrius.kabasinkas@ktu.lt</t>
  </si>
  <si>
    <t>dbevan@stmartins.edu;</t>
  </si>
  <si>
    <t>ronald@kleverlaan.com; t.walther@uu.nl</t>
  </si>
  <si>
    <t>New Zeeland</t>
  </si>
  <si>
    <t>lameski@finki.ukim.mk;</t>
  </si>
  <si>
    <t>Palestine*</t>
  </si>
  <si>
    <t>pwojcik@wne.uw.edu.pl;</t>
  </si>
  <si>
    <t>1; 3; 5; 7</t>
  </si>
  <si>
    <t>2; 4; 6; 8; 9</t>
  </si>
  <si>
    <t>joana@fe.uc.pt; bribeiro@dei.uc.pt; catarina@dei.uc.pt;</t>
  </si>
  <si>
    <t xml:space="preserve">3; 4; </t>
  </si>
  <si>
    <t>1; 2; 5; 6; 7; 8; 9</t>
  </si>
  <si>
    <t>danpele@ase.ro;</t>
  </si>
  <si>
    <t>1; 2; 4; 6; 7; 8; 9</t>
  </si>
  <si>
    <t>vladimir.simovic@ien.bg.ac.rs;</t>
  </si>
  <si>
    <t>Singapore</t>
  </si>
  <si>
    <t>jana.peliova@euba.sk;</t>
  </si>
  <si>
    <t>3; 4</t>
  </si>
  <si>
    <t>denis.trcek@fri.uni-lj.si;</t>
  </si>
  <si>
    <t>3; 5; 7</t>
  </si>
  <si>
    <t>1; 2; 4; 6; 8; 9</t>
  </si>
  <si>
    <t>javier.arroyo@fdi.ucm.es;</t>
  </si>
  <si>
    <t>yes**</t>
  </si>
  <si>
    <t>scwp@zhaw.ch; wuns@zhaw.ch</t>
  </si>
  <si>
    <t>**not a report but a google survey page</t>
  </si>
  <si>
    <t>Taiwan</t>
  </si>
  <si>
    <t>belma.ozturkal@khas.edu.tr</t>
  </si>
  <si>
    <t>United Arab Emirates</t>
  </si>
  <si>
    <t>Diversity</t>
  </si>
  <si>
    <t>Unknown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</si>
</sst>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d/mm/yyyy hh:mm:ss"/>
    <numFmt numFmtId="166" formatCode="[$£-809]#,##0.00"/>
    <numFmt numFmtId="167" formatCode="#,##0&quot;€&quot;"/>
    <numFmt numFmtId="168" formatCode="d-mmm"/>
  </numFmts>
  <fonts count="88">
    <font>
      <sz val="10.0"/>
      <color rgb="FF000000"/>
      <name val="Arial"/>
      <scheme val="minor"/>
    </font>
    <font>
      <color theme="1"/>
      <name val="Arial"/>
      <scheme val="minor"/>
    </font>
    <font>
      <sz val="11.0"/>
      <color rgb="FF000000"/>
      <name val="Inconsolata"/>
    </font>
    <font>
      <sz val="11.0"/>
      <color rgb="FF000000"/>
      <name val="Calibri"/>
    </font>
    <font>
      <b/>
      <sz val="11.0"/>
      <color theme="1"/>
      <name val="Calibri"/>
    </font>
    <font>
      <color theme="1"/>
      <name val="Arial"/>
    </font>
    <font>
      <sz val="11.0"/>
      <color theme="1"/>
      <name val="Calibri"/>
    </font>
    <font>
      <sz val="11.0"/>
      <color theme="1"/>
      <name val="Arial"/>
    </font>
    <font>
      <b/>
      <color theme="1"/>
      <name val="Arial"/>
      <scheme val="minor"/>
    </font>
    <font>
      <u/>
      <color rgb="FF0000FF"/>
    </font>
    <font>
      <u/>
      <color rgb="FF0000FF"/>
    </font>
    <font>
      <u/>
      <sz val="11.0"/>
      <color rgb="FF0000FF"/>
      <name val="Calibri"/>
    </font>
    <font>
      <u/>
      <sz val="11.0"/>
      <color rgb="FF0563C1"/>
      <name val="Calibri"/>
    </font>
    <font>
      <u/>
      <color rgb="FF0000FF"/>
    </font>
    <font>
      <sz val="10.0"/>
      <color theme="1"/>
      <name val="Arial"/>
    </font>
    <font>
      <u/>
      <sz val="12.0"/>
      <color rgb="FF0563C1"/>
      <name val="&quot;Times New Roman&quot;"/>
    </font>
    <font>
      <i/>
      <color theme="1"/>
      <name val="Arial"/>
      <scheme val="minor"/>
    </font>
    <font>
      <sz val="10.0"/>
      <color theme="1"/>
      <name val="Arial"/>
      <scheme val="minor"/>
    </font>
    <font>
      <u/>
      <sz val="10.0"/>
      <color rgb="FF0000FF"/>
    </font>
    <font>
      <u/>
      <sz val="10.0"/>
      <color rgb="FF0000FF"/>
    </font>
    <font>
      <i/>
      <sz val="10.0"/>
      <color theme="1"/>
      <name val="Arial"/>
      <scheme val="minor"/>
    </font>
    <font>
      <u/>
      <sz val="10.0"/>
      <color rgb="FF0000FF"/>
    </font>
    <font>
      <sz val="10.0"/>
      <color rgb="FF333333"/>
      <name val="Arial"/>
      <scheme val="minor"/>
    </font>
    <font>
      <u/>
      <sz val="10.0"/>
      <color rgb="FF006FB7"/>
    </font>
    <font>
      <sz val="10.0"/>
      <color rgb="FF222222"/>
      <name val="Arial"/>
      <scheme val="minor"/>
    </font>
    <font>
      <u/>
      <sz val="10.0"/>
      <color rgb="FF000000"/>
    </font>
    <font>
      <u/>
      <sz val="10.0"/>
      <color rgb="FF000000"/>
    </font>
    <font>
      <sz val="10.0"/>
      <color rgb="FF212121"/>
      <name val="Arial"/>
      <scheme val="minor"/>
    </font>
    <font>
      <u/>
      <sz val="10.0"/>
      <color rgb="FF0000FF"/>
    </font>
    <font>
      <u/>
      <sz val="10.0"/>
      <color rgb="FF333333"/>
    </font>
    <font>
      <u/>
      <sz val="10.0"/>
      <color rgb="FF000000"/>
      <name val="Arial"/>
      <scheme val="minor"/>
    </font>
    <font>
      <u/>
      <sz val="10.0"/>
      <color rgb="FFFF0000"/>
    </font>
    <font>
      <u/>
      <sz val="10.0"/>
      <color rgb="FFFF6C00"/>
    </font>
    <font>
      <u/>
      <sz val="11.0"/>
      <color rgb="FF0000FF"/>
      <name val="Calibri"/>
    </font>
    <font>
      <u/>
      <sz val="10.0"/>
      <color rgb="FF000000"/>
    </font>
    <font>
      <u/>
      <sz val="10.0"/>
      <color rgb="FF000000"/>
    </font>
    <font>
      <u/>
      <sz val="10.0"/>
      <color rgb="FF000069"/>
    </font>
    <font>
      <u/>
      <sz val="10.0"/>
      <color rgb="FF000087"/>
    </font>
    <font>
      <u/>
      <sz val="10.0"/>
      <color rgb="FF000087"/>
    </font>
    <font>
      <u/>
      <sz val="10.0"/>
      <color rgb="FF000000"/>
    </font>
    <font>
      <u/>
      <sz val="10.0"/>
      <color rgb="FF000000"/>
      <name val="Arial"/>
      <scheme val="minor"/>
    </font>
    <font>
      <u/>
      <sz val="10.0"/>
      <color rgb="FF333333"/>
    </font>
    <font>
      <u/>
      <sz val="10.0"/>
      <color rgb="FF0C7DBB"/>
    </font>
    <font>
      <u/>
      <sz val="10.0"/>
      <color rgb="FF0C7DBB"/>
    </font>
    <font>
      <u/>
      <color rgb="FF000000"/>
      <name val="Roboto"/>
    </font>
    <font>
      <sz val="10.0"/>
      <color rgb="FF404040"/>
      <name val="Arial"/>
      <scheme val="minor"/>
    </font>
    <font>
      <u/>
      <sz val="10.0"/>
      <color rgb="FF022B42"/>
    </font>
    <font>
      <u/>
      <sz val="10.0"/>
      <color rgb="FF006DB4"/>
    </font>
    <font>
      <sz val="9.0"/>
      <color rgb="FF222222"/>
      <name val="Arial"/>
    </font>
    <font>
      <u/>
      <sz val="12.0"/>
      <color rgb="FF333333"/>
      <name val="-apple-system"/>
    </font>
    <font>
      <u/>
      <sz val="12.0"/>
      <color rgb="FF333333"/>
      <name val="-apple-system"/>
    </font>
    <font>
      <u/>
      <sz val="10.0"/>
      <color rgb="FF333333"/>
    </font>
    <font>
      <u/>
      <sz val="10.0"/>
      <color rgb="FF0000FF"/>
      <name val="Arial"/>
      <scheme val="minor"/>
    </font>
    <font>
      <u/>
      <sz val="9.0"/>
      <color rgb="FF000000"/>
      <name val="&quot;Helvetica Neue&quot;"/>
    </font>
    <font>
      <u/>
      <sz val="9.0"/>
      <color rgb="FF000000"/>
      <name val="&quot;Helvetica Neue&quot;"/>
    </font>
    <font>
      <u/>
      <sz val="11.0"/>
      <color rgb="FF0563C1"/>
      <name val="Calibri"/>
    </font>
    <font>
      <b/>
      <color rgb="FF000000"/>
      <name val="Arial"/>
    </font>
    <font>
      <color rgb="FF000000"/>
      <name val="Arial"/>
    </font>
    <font>
      <u/>
      <sz val="11.0"/>
      <color rgb="FF0563C1"/>
      <name val="Calibri"/>
    </font>
    <font>
      <color rgb="FF222222"/>
      <name val="Arial"/>
    </font>
    <font>
      <u/>
      <sz val="11.0"/>
      <color rgb="FF0563C1"/>
      <name val="Calibri"/>
    </font>
    <font>
      <u/>
      <color rgb="FF1155CC"/>
      <name val="Arial"/>
    </font>
    <font>
      <u/>
      <color rgb="FF000000"/>
      <name val="Arial"/>
    </font>
    <font>
      <u/>
      <sz val="11.0"/>
      <color rgb="FF0563C1"/>
      <name val="Calibri"/>
    </font>
    <font>
      <u/>
      <color rgb="FF000000"/>
      <name val="Arial"/>
    </font>
    <font>
      <u/>
      <sz val="11.0"/>
      <color rgb="FF0563C1"/>
      <name val="Calibri"/>
    </font>
    <font>
      <u/>
      <sz val="11.0"/>
      <color rgb="FF0563C1"/>
      <name val="Calibri"/>
    </font>
    <font>
      <color rgb="FF212121"/>
      <name val="Arial"/>
    </font>
    <font>
      <color rgb="FF404040"/>
      <name val="Arial"/>
    </font>
    <font>
      <u/>
      <color rgb="FF000000"/>
      <name val="Arial"/>
    </font>
    <font>
      <u/>
      <sz val="11.0"/>
      <color rgb="FF0563C1"/>
      <name val="Calibri"/>
    </font>
    <font>
      <u/>
      <sz val="11.0"/>
      <color rgb="FF0563C1"/>
      <name val="Calibri"/>
    </font>
    <font>
      <u/>
      <sz val="11.0"/>
      <color rgb="FF085C77"/>
      <name val="&quot;Noto Sans&quot;"/>
    </font>
    <font>
      <color theme="1"/>
      <name val="Roboto"/>
    </font>
    <font>
      <sz val="11.0"/>
      <color rgb="FF000000"/>
      <name val="Roboto"/>
    </font>
    <font>
      <b/>
      <u/>
      <sz val="10.0"/>
      <color theme="1"/>
      <name val="Arial"/>
      <scheme val="minor"/>
    </font>
    <font>
      <b/>
      <sz val="10.0"/>
      <color rgb="FF000000"/>
      <name val="Arial"/>
      <scheme val="minor"/>
    </font>
    <font>
      <b/>
      <sz val="10.0"/>
      <color theme="1"/>
      <name val="Arial"/>
      <scheme val="minor"/>
    </font>
    <font>
      <color rgb="FF000000"/>
      <name val="Roboto"/>
    </font>
    <font>
      <color rgb="FF242424"/>
      <name val="Arial"/>
    </font>
    <font>
      <sz val="11.0"/>
      <color theme="1"/>
      <name val="&quot;Times New Roman&quot;"/>
    </font>
    <font>
      <b/>
      <sz val="11.0"/>
      <color rgb="FF000000"/>
      <name val="Calibri"/>
    </font>
    <font>
      <b/>
      <sz val="11.0"/>
      <color rgb="FF70AD47"/>
      <name val="Calibri"/>
    </font>
    <font>
      <b/>
      <sz val="11.0"/>
      <color rgb="FFED7D31"/>
      <name val="Calibri"/>
    </font>
    <font>
      <u/>
      <sz val="11.0"/>
      <color rgb="FF0563C1"/>
      <name val="Calibri"/>
    </font>
    <font>
      <u/>
      <sz val="11.0"/>
      <color rgb="FF0563C1"/>
      <name val="Calibri"/>
    </font>
    <font>
      <u/>
      <sz val="11.0"/>
      <color rgb="FF0563C1"/>
      <name val="Calibri"/>
    </font>
    <font>
      <i/>
      <sz val="11.0"/>
      <color rgb="FF000000"/>
      <name val="Calibri"/>
    </font>
  </fonts>
  <fills count="11">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CFCFC"/>
        <bgColor rgb="FFFCFCFC"/>
      </patternFill>
    </fill>
    <fill>
      <patternFill patternType="solid">
        <fgColor theme="0"/>
        <bgColor theme="0"/>
      </patternFill>
    </fill>
    <fill>
      <patternFill patternType="solid">
        <fgColor rgb="FFFAFAFA"/>
        <bgColor rgb="FFFAFAFA"/>
      </patternFill>
    </fill>
    <fill>
      <patternFill patternType="solid">
        <fgColor rgb="FFA5A5A5"/>
        <bgColor rgb="FFA5A5A5"/>
      </patternFill>
    </fill>
    <fill>
      <patternFill patternType="solid">
        <fgColor rgb="FF00FFFF"/>
        <bgColor rgb="FF00FFFF"/>
      </patternFill>
    </fill>
    <fill>
      <patternFill patternType="solid">
        <fgColor rgb="FFFF6C00"/>
        <bgColor rgb="FFFF6C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borderId="0" fillId="2" fontId="2" numFmtId="0" xfId="0" applyAlignment="1" applyFill="1" applyFont="1">
      <alignment readingOrder="0"/>
    </xf>
    <xf borderId="0" fillId="0" fontId="1" numFmtId="165" xfId="0" applyAlignment="1" applyFont="1" applyNumberFormat="1">
      <alignment readingOrder="0"/>
    </xf>
    <xf borderId="0" fillId="0" fontId="3" numFmtId="0" xfId="0" applyAlignment="1" applyFont="1">
      <alignment readingOrder="0" shrinkToFit="0" vertical="bottom" wrapText="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1" fillId="0" fontId="4" numFmtId="0" xfId="0" applyAlignment="1" applyBorder="1" applyFont="1">
      <alignment vertical="bottom"/>
    </xf>
    <xf borderId="0" fillId="0" fontId="6" numFmtId="0" xfId="0" applyAlignment="1" applyFont="1">
      <alignment vertical="bottom"/>
    </xf>
    <xf borderId="1" fillId="0" fontId="6" numFmtId="0" xfId="0" applyAlignment="1" applyBorder="1" applyFont="1">
      <alignment vertical="bottom"/>
    </xf>
    <xf borderId="0" fillId="0" fontId="6" numFmtId="0" xfId="0" applyAlignment="1" applyFont="1">
      <alignment shrinkToFit="0" vertical="bottom" wrapText="0"/>
    </xf>
    <xf borderId="0" fillId="0" fontId="6" numFmtId="0" xfId="0" applyAlignment="1" applyFont="1">
      <alignment readingOrder="0" vertical="bottom"/>
    </xf>
    <xf borderId="0" fillId="0" fontId="7" numFmtId="0" xfId="0" applyAlignment="1" applyFont="1">
      <alignment readingOrder="0" vertical="bottom"/>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vertical="bottom"/>
    </xf>
    <xf borderId="0" fillId="0" fontId="12" numFmtId="0" xfId="0" applyAlignment="1" applyFont="1">
      <alignment readingOrder="0"/>
    </xf>
    <xf borderId="0" fillId="3" fontId="13" numFmtId="0" xfId="0" applyAlignment="1" applyFill="1" applyFont="1">
      <alignment readingOrder="0"/>
    </xf>
    <xf borderId="0" fillId="2" fontId="14" numFmtId="0" xfId="0" applyAlignment="1" applyFont="1">
      <alignment readingOrder="0"/>
    </xf>
    <xf borderId="0" fillId="3"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7" numFmtId="0" xfId="0" applyFont="1"/>
    <xf borderId="0" fillId="0" fontId="18" numFmtId="0" xfId="0" applyAlignment="1" applyFont="1">
      <alignment horizontal="lef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4" fontId="22" numFmtId="0" xfId="0" applyAlignment="1" applyFill="1" applyFont="1">
      <alignment readingOrder="0"/>
    </xf>
    <xf borderId="0" fillId="2" fontId="23" numFmtId="0" xfId="0" applyAlignment="1" applyFont="1">
      <alignment readingOrder="0"/>
    </xf>
    <xf borderId="0" fillId="2" fontId="24" numFmtId="0" xfId="0" applyAlignment="1" applyFont="1">
      <alignment readingOrder="0"/>
    </xf>
    <xf borderId="0" fillId="2" fontId="24" numFmtId="0" xfId="0" applyAlignment="1" applyFont="1">
      <alignment horizontal="left" readingOrder="0"/>
    </xf>
    <xf borderId="0" fillId="2" fontId="17" numFmtId="0" xfId="0" applyAlignment="1" applyFont="1">
      <alignment readingOrder="0"/>
    </xf>
    <xf borderId="0" fillId="0" fontId="25" numFmtId="0" xfId="0" applyAlignment="1" applyFont="1">
      <alignment readingOrder="0"/>
    </xf>
    <xf borderId="0" fillId="2" fontId="26" numFmtId="0" xfId="0" applyAlignment="1" applyFont="1">
      <alignment readingOrder="0"/>
    </xf>
    <xf borderId="0" fillId="2" fontId="27" numFmtId="0" xfId="0" applyFont="1"/>
    <xf borderId="0" fillId="5" fontId="17" numFmtId="0" xfId="0" applyAlignment="1" applyFill="1" applyFont="1">
      <alignment readingOrder="0"/>
    </xf>
    <xf borderId="0" fillId="5" fontId="28" numFmtId="0" xfId="0" applyAlignment="1" applyFont="1">
      <alignment readingOrder="0"/>
    </xf>
    <xf borderId="0" fillId="5" fontId="17" numFmtId="0" xfId="0" applyFont="1"/>
    <xf borderId="0" fillId="2" fontId="29" numFmtId="0" xfId="0" applyAlignment="1" applyFont="1">
      <alignment horizontal="left" readingOrder="0"/>
    </xf>
    <xf borderId="0" fillId="0" fontId="30" numFmtId="0" xfId="0" applyFont="1"/>
    <xf borderId="0" fillId="0" fontId="31" numFmtId="0" xfId="0" applyAlignment="1" applyFont="1">
      <alignment readingOrder="0"/>
    </xf>
    <xf borderId="0" fillId="0" fontId="32" numFmtId="0" xfId="0" applyAlignment="1" applyFont="1">
      <alignment readingOrder="0"/>
    </xf>
    <xf borderId="0" fillId="0" fontId="17" numFmtId="0" xfId="0" applyAlignment="1" applyFont="1">
      <alignment readingOrder="0"/>
    </xf>
    <xf borderId="0" fillId="0" fontId="33" numFmtId="0" xfId="0" applyAlignment="1" applyFont="1">
      <alignment readingOrder="0"/>
    </xf>
    <xf borderId="0" fillId="2" fontId="34"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5" fontId="1" numFmtId="0" xfId="0" applyFont="1"/>
    <xf borderId="0" fillId="0" fontId="38" numFmtId="0" xfId="0" applyAlignment="1" applyFont="1">
      <alignment readingOrder="0"/>
    </xf>
    <xf borderId="0" fillId="0" fontId="39" numFmtId="0" xfId="0" applyAlignment="1" applyFont="1">
      <alignment readingOrder="0" vertical="top"/>
    </xf>
    <xf borderId="0" fillId="0" fontId="0" numFmtId="0" xfId="0" applyAlignment="1" applyFont="1">
      <alignment readingOrder="0"/>
    </xf>
    <xf borderId="0" fillId="0" fontId="40" numFmtId="0" xfId="0" applyAlignment="1" applyFont="1">
      <alignment readingOrder="0"/>
    </xf>
    <xf borderId="0" fillId="4" fontId="41" numFmtId="0" xfId="0" applyAlignment="1" applyFont="1">
      <alignment horizontal="left" readingOrder="0"/>
    </xf>
    <xf borderId="0" fillId="2" fontId="0" numFmtId="0" xfId="0" applyAlignment="1" applyFont="1">
      <alignment horizontal="left" readingOrder="0"/>
    </xf>
    <xf borderId="0" fillId="0" fontId="42" numFmtId="0" xfId="0" applyAlignment="1" applyFont="1">
      <alignment readingOrder="0"/>
    </xf>
    <xf borderId="0" fillId="2" fontId="27" numFmtId="0" xfId="0" applyAlignment="1" applyFont="1">
      <alignment readingOrder="0"/>
    </xf>
    <xf borderId="0" fillId="0" fontId="43" numFmtId="0" xfId="0" applyAlignment="1" applyFont="1">
      <alignment readingOrder="0"/>
    </xf>
    <xf borderId="0" fillId="0" fontId="17" numFmtId="0" xfId="0" applyAlignment="1" applyFont="1">
      <alignment readingOrder="0"/>
    </xf>
    <xf borderId="0" fillId="2" fontId="44" numFmtId="0" xfId="0" applyAlignment="1" applyFont="1">
      <alignment readingOrder="0"/>
    </xf>
    <xf borderId="0" fillId="2" fontId="45" numFmtId="0" xfId="0" applyAlignment="1" applyFont="1">
      <alignment horizontal="left" readingOrder="0"/>
    </xf>
    <xf borderId="0" fillId="0" fontId="17" numFmtId="0" xfId="0" applyAlignment="1" applyFont="1">
      <alignment vertical="bottom"/>
    </xf>
    <xf borderId="0" fillId="6" fontId="46" numFmtId="0" xfId="0" applyAlignment="1" applyFill="1" applyFont="1">
      <alignment horizontal="left" readingOrder="0"/>
    </xf>
    <xf borderId="0" fillId="0" fontId="47" numFmtId="0" xfId="0" applyAlignment="1" applyFont="1">
      <alignment horizontal="left" readingOrder="0"/>
    </xf>
    <xf borderId="0" fillId="2" fontId="48" numFmtId="0" xfId="0" applyAlignment="1" applyFont="1">
      <alignment readingOrder="0"/>
    </xf>
    <xf borderId="0" fillId="4" fontId="49" numFmtId="0" xfId="0" applyAlignment="1" applyFont="1">
      <alignment readingOrder="0"/>
    </xf>
    <xf borderId="0" fillId="4" fontId="50" numFmtId="0" xfId="0" applyAlignment="1" applyFont="1">
      <alignment readingOrder="0"/>
    </xf>
    <xf borderId="0" fillId="0" fontId="17" numFmtId="0" xfId="0" applyAlignment="1" applyFont="1">
      <alignment horizontal="left" readingOrder="0" shrinkToFit="0" wrapText="1"/>
    </xf>
    <xf borderId="0" fillId="4" fontId="51" numFmtId="0" xfId="0" applyAlignment="1" applyFont="1">
      <alignment horizontal="left" readingOrder="0"/>
    </xf>
    <xf borderId="0" fillId="0" fontId="0" numFmtId="0" xfId="0" applyFont="1"/>
    <xf borderId="0" fillId="0" fontId="52" numFmtId="0" xfId="0" applyFont="1"/>
    <xf borderId="0" fillId="2" fontId="53" numFmtId="0" xfId="0" applyAlignment="1" applyFont="1">
      <alignment horizontal="left" readingOrder="0"/>
    </xf>
    <xf borderId="0" fillId="2" fontId="54" numFmtId="0" xfId="0" applyAlignment="1" applyFont="1">
      <alignment readingOrder="0"/>
    </xf>
    <xf borderId="0" fillId="0" fontId="55" numFmtId="0" xfId="0" applyAlignment="1" applyFont="1">
      <alignment readingOrder="0"/>
    </xf>
    <xf borderId="0" fillId="7" fontId="56" numFmtId="0" xfId="0" applyAlignment="1" applyFill="1" applyFont="1">
      <alignment readingOrder="0" vertical="bottom"/>
    </xf>
    <xf borderId="0" fillId="0" fontId="57" numFmtId="0" xfId="0" applyAlignment="1" applyFont="1">
      <alignment readingOrder="0" vertical="bottom"/>
    </xf>
    <xf borderId="0" fillId="0" fontId="58" numFmtId="0" xfId="0" applyAlignment="1" applyFont="1">
      <alignment readingOrder="0" vertical="bottom"/>
    </xf>
    <xf borderId="0" fillId="0" fontId="57" numFmtId="0" xfId="0" applyAlignment="1" applyFont="1">
      <alignment readingOrder="0" shrinkToFit="0" wrapText="0"/>
    </xf>
    <xf borderId="0" fillId="2" fontId="57" numFmtId="0" xfId="0" applyAlignment="1" applyFont="1">
      <alignment readingOrder="0" shrinkToFit="0" wrapText="0"/>
    </xf>
    <xf borderId="0" fillId="2" fontId="57" numFmtId="0" xfId="0" applyAlignment="1" applyFont="1">
      <alignment readingOrder="0" vertical="bottom"/>
    </xf>
    <xf borderId="0" fillId="2" fontId="59" numFmtId="0" xfId="0" applyAlignment="1" applyFont="1">
      <alignment readingOrder="0" vertical="bottom"/>
    </xf>
    <xf borderId="0" fillId="0" fontId="57" numFmtId="0" xfId="0" applyAlignment="1" applyFont="1">
      <alignment vertical="bottom"/>
    </xf>
    <xf borderId="0" fillId="2" fontId="60" numFmtId="0" xfId="0" applyAlignment="1" applyFont="1">
      <alignment readingOrder="0" vertical="bottom"/>
    </xf>
    <xf borderId="0" fillId="2" fontId="57" numFmtId="0" xfId="0" applyAlignment="1" applyFont="1">
      <alignment vertical="bottom"/>
    </xf>
    <xf borderId="0" fillId="0" fontId="61" numFmtId="0" xfId="0" applyAlignment="1" applyFont="1">
      <alignment readingOrder="0" vertical="bottom"/>
    </xf>
    <xf borderId="0" fillId="0" fontId="62" numFmtId="0" xfId="0" applyAlignment="1" applyFont="1">
      <alignment readingOrder="0" vertical="top"/>
    </xf>
    <xf borderId="0" fillId="0" fontId="63" numFmtId="0" xfId="0" applyAlignment="1" applyFont="1">
      <alignment readingOrder="0" vertical="top"/>
    </xf>
    <xf borderId="0" fillId="0" fontId="64" numFmtId="0" xfId="0" applyAlignment="1" applyFont="1">
      <alignment vertical="bottom"/>
    </xf>
    <xf borderId="0" fillId="0" fontId="65" numFmtId="0" xfId="0" applyAlignment="1" applyFont="1">
      <alignment readingOrder="0" shrinkToFit="0" wrapText="0"/>
    </xf>
    <xf borderId="0" fillId="4" fontId="66" numFmtId="0" xfId="0" applyAlignment="1" applyFont="1">
      <alignment readingOrder="0" vertical="bottom"/>
    </xf>
    <xf borderId="0" fillId="2" fontId="59" numFmtId="0" xfId="0" applyAlignment="1" applyFont="1">
      <alignment readingOrder="0" shrinkToFit="0" wrapText="0"/>
    </xf>
    <xf borderId="0" fillId="2" fontId="67" numFmtId="0" xfId="0" applyAlignment="1" applyFont="1">
      <alignment readingOrder="0" shrinkToFit="0" wrapText="0"/>
    </xf>
    <xf borderId="0" fillId="2" fontId="68" numFmtId="0" xfId="0" applyAlignment="1" applyFont="1">
      <alignment readingOrder="0" shrinkToFit="0" wrapText="0"/>
    </xf>
    <xf borderId="0" fillId="0" fontId="69" numFmtId="0" xfId="0" applyAlignment="1" applyFont="1">
      <alignment readingOrder="0" vertical="bottom"/>
    </xf>
    <xf borderId="0" fillId="6" fontId="70" numFmtId="0" xfId="0" applyAlignment="1" applyFont="1">
      <alignment readingOrder="0" vertical="bottom"/>
    </xf>
    <xf borderId="0" fillId="2" fontId="48" numFmtId="0" xfId="0" applyAlignment="1" applyFont="1">
      <alignment readingOrder="0" vertical="bottom"/>
    </xf>
    <xf borderId="0" fillId="2" fontId="48" numFmtId="0" xfId="0" applyAlignment="1" applyFont="1">
      <alignment readingOrder="0" shrinkToFit="0" wrapText="0"/>
    </xf>
    <xf borderId="0" fillId="4" fontId="71" numFmtId="0" xfId="0" applyAlignment="1" applyFont="1">
      <alignment readingOrder="0" shrinkToFit="0" wrapText="0"/>
    </xf>
    <xf borderId="0" fillId="2" fontId="72" numFmtId="0" xfId="0" applyAlignment="1" applyFont="1">
      <alignment readingOrder="0"/>
    </xf>
    <xf borderId="0" fillId="0" fontId="73" numFmtId="0" xfId="0" applyAlignment="1" applyFont="1">
      <alignment readingOrder="0"/>
    </xf>
    <xf borderId="0" fillId="2" fontId="74" numFmtId="0" xfId="0" applyAlignment="1" applyFont="1">
      <alignment readingOrder="0"/>
    </xf>
    <xf borderId="0" fillId="0" fontId="75" numFmtId="0" xfId="0" applyAlignment="1" applyFont="1">
      <alignment readingOrder="0"/>
    </xf>
    <xf borderId="0" fillId="0" fontId="76" numFmtId="0" xfId="0" applyAlignment="1" applyFont="1">
      <alignment horizontal="left" readingOrder="0" shrinkToFit="0" wrapText="1"/>
    </xf>
    <xf borderId="0" fillId="0" fontId="77" numFmtId="0" xfId="0" applyAlignment="1" applyFont="1">
      <alignment readingOrder="0"/>
    </xf>
    <xf borderId="1" fillId="0" fontId="76" numFmtId="0" xfId="0" applyAlignment="1" applyBorder="1" applyFont="1">
      <alignment horizontal="left" readingOrder="0" shrinkToFit="0" wrapText="1"/>
    </xf>
    <xf borderId="1" fillId="0" fontId="8" numFmtId="0" xfId="0" applyAlignment="1" applyBorder="1" applyFont="1">
      <alignment readingOrder="0"/>
    </xf>
    <xf borderId="0" fillId="0" fontId="17" numFmtId="166" xfId="0" applyAlignment="1" applyFont="1" applyNumberFormat="1">
      <alignment readingOrder="0"/>
    </xf>
    <xf borderId="0" fillId="8" fontId="17" numFmtId="0" xfId="0" applyAlignment="1" applyFill="1" applyFont="1">
      <alignment readingOrder="0"/>
    </xf>
    <xf borderId="0" fillId="8" fontId="17" numFmtId="0" xfId="0" applyAlignment="1" applyFont="1">
      <alignment readingOrder="0"/>
    </xf>
    <xf borderId="0" fillId="8" fontId="1" numFmtId="0" xfId="0" applyFont="1"/>
    <xf borderId="0" fillId="2" fontId="0" numFmtId="0" xfId="0" applyAlignment="1" applyFont="1">
      <alignment readingOrder="0"/>
    </xf>
    <xf borderId="0" fillId="8" fontId="0" numFmtId="0" xfId="0" applyAlignment="1" applyFont="1">
      <alignment readingOrder="0"/>
    </xf>
    <xf borderId="0" fillId="8" fontId="1" numFmtId="0" xfId="0" applyAlignment="1" applyFont="1">
      <alignment readingOrder="0"/>
    </xf>
    <xf borderId="0" fillId="8" fontId="17" numFmtId="167" xfId="0" applyAlignment="1" applyFont="1" applyNumberFormat="1">
      <alignment readingOrder="0"/>
    </xf>
    <xf borderId="0" fillId="0" fontId="17" numFmtId="167" xfId="0" applyAlignment="1" applyFont="1" applyNumberFormat="1">
      <alignment readingOrder="0"/>
    </xf>
    <xf borderId="0" fillId="9" fontId="17" numFmtId="0" xfId="0" applyAlignment="1" applyFill="1" applyFont="1">
      <alignment readingOrder="0"/>
    </xf>
    <xf borderId="0" fillId="0" fontId="17" numFmtId="0" xfId="0" applyAlignment="1" applyFont="1">
      <alignment horizontal="right" readingOrder="0"/>
    </xf>
    <xf borderId="0" fillId="0" fontId="0" numFmtId="0" xfId="0" applyAlignment="1" applyFont="1">
      <alignment horizontal="right" readingOrder="0"/>
    </xf>
    <xf borderId="0" fillId="8" fontId="0" numFmtId="0" xfId="0" applyAlignment="1" applyFont="1">
      <alignment readingOrder="0" vertical="top"/>
    </xf>
    <xf borderId="0" fillId="8" fontId="17" numFmtId="0" xfId="0" applyFont="1"/>
    <xf borderId="0" fillId="2" fontId="78" numFmtId="0" xfId="0" applyAlignment="1" applyFont="1">
      <alignment readingOrder="0"/>
    </xf>
    <xf borderId="0" fillId="8" fontId="78" numFmtId="0" xfId="0" applyAlignment="1" applyFont="1">
      <alignment readingOrder="0"/>
    </xf>
    <xf borderId="0" fillId="8" fontId="79" numFmtId="0" xfId="0" applyAlignment="1" applyFont="1">
      <alignment readingOrder="0"/>
    </xf>
    <xf borderId="0" fillId="8" fontId="57" numFmtId="0" xfId="0" applyAlignment="1" applyFont="1">
      <alignment readingOrder="0"/>
    </xf>
    <xf quotePrefix="1" borderId="0" fillId="8" fontId="1" numFmtId="0" xfId="0" applyAlignment="1" applyFont="1">
      <alignment readingOrder="0"/>
    </xf>
    <xf borderId="0" fillId="0" fontId="3" numFmtId="0" xfId="0" applyAlignment="1" applyFont="1">
      <alignment readingOrder="0"/>
    </xf>
    <xf borderId="0" fillId="0" fontId="80" numFmtId="0" xfId="0" applyAlignment="1" applyFont="1">
      <alignment horizontal="left" readingOrder="0"/>
    </xf>
    <xf borderId="0" fillId="8" fontId="1" numFmtId="3" xfId="0" applyAlignment="1" applyFont="1" applyNumberFormat="1">
      <alignment readingOrder="0"/>
    </xf>
    <xf borderId="0" fillId="0" fontId="81" numFmtId="0" xfId="0" applyAlignment="1" applyFont="1">
      <alignment readingOrder="0" shrinkToFit="0" vertical="bottom" wrapText="0"/>
    </xf>
    <xf borderId="0" fillId="0" fontId="82" numFmtId="0" xfId="0" applyAlignment="1" applyFont="1">
      <alignment readingOrder="0" shrinkToFit="0" vertical="bottom" wrapText="0"/>
    </xf>
    <xf borderId="0" fillId="0" fontId="83" numFmtId="0" xfId="0" applyAlignment="1" applyFont="1">
      <alignment readingOrder="0" shrinkToFit="0" vertical="bottom" wrapText="0"/>
    </xf>
    <xf borderId="0" fillId="0" fontId="4" numFmtId="0" xfId="0" applyAlignment="1" applyFont="1">
      <alignment readingOrder="0" shrinkToFit="0" vertical="bottom" wrapText="0"/>
    </xf>
    <xf borderId="0" fillId="0" fontId="57" numFmtId="0" xfId="0" applyAlignment="1" applyFont="1">
      <alignment readingOrder="0" shrinkToFit="0" vertical="bottom" wrapText="0"/>
    </xf>
    <xf borderId="0" fillId="0" fontId="84" numFmtId="0" xfId="0" applyAlignment="1" applyFont="1">
      <alignment readingOrder="0" shrinkToFit="0" vertical="bottom" wrapText="0"/>
    </xf>
    <xf borderId="0" fillId="0" fontId="3" numFmtId="168"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85" numFmtId="0" xfId="0" applyAlignment="1" applyFont="1">
      <alignment shrinkToFit="0" vertical="bottom" wrapText="0"/>
    </xf>
    <xf borderId="0" fillId="10" fontId="3" numFmtId="0" xfId="0" applyAlignment="1" applyFill="1" applyFont="1">
      <alignment shrinkToFit="0" vertical="bottom" wrapText="0"/>
    </xf>
    <xf borderId="0" fillId="10" fontId="86" numFmtId="0" xfId="0" applyAlignment="1" applyFont="1">
      <alignment shrinkToFit="0" vertical="bottom" wrapText="0"/>
    </xf>
    <xf borderId="0" fillId="0" fontId="87"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VIER ARROYO GALLARDO" id="{3d7c7150-6942-4c8b-a973-c6e32225975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C64" sheet="Form responses 1"/>
  </cacheSource>
  <cacheFields>
    <cacheField name="Email address" numFmtId="0">
      <sharedItems>
        <s v="lleshlleshaj@feut.edu.al"/>
        <s v="eliona.gremi@uniel.edu.al"/>
        <s v="tidjani.chemseddine@gmail.com"/>
        <s v="ronald.hochreiter@wu.ac.at"/>
        <s v="aivanisev@net.efzg.hr"/>
        <s v="svlahjeric@gmail.com"/>
        <s v="georgiou.i@unic.ac.cy"/>
        <s v="petr.hajek@upce.cz"/>
        <s v="luislore@ucm.es"/>
        <s v="laivi.laidroo@taltech.ee"/>
        <s v="innar.liiv@taltech.ee"/>
        <s v="roman.matkovskyy@rennes-sb.com"/>
        <s v="elias.tsigaridas@inria.fr"/>
        <s v="haerdle@hu-berlin.de"/>
        <s v="allapetukhina@icloud.com"/>
        <s v="veniarakelian@yahoo.com"/>
        <s v="tolis.chal@gmail.com"/>
        <s v="trimborn.econometrics@gmail.com"/>
        <s v="molnarba@inf.elte.hu"/>
        <s v="rupelnargunam25@gmail.com"/>
        <s v="valerio.poti@ucd.ie"/>
        <s v="vassilios.papavassiliou@ucd.ie"/>
        <s v="alessandra.tanda@unipv.it"/>
        <s v="daniele.marazzina@polimi.it"/>
        <s v="maria.iannario@unina.it"/>
        <s v="rr@lu.lv"/>
        <s v="audkaba@ktu.lt"/>
        <s v="kristina.sutiene@ktu.lt"/>
        <s v="angele@acrosslimits.com"/>
        <s v="dbevan@stmartins.edu"/>
        <s v="lameski@finki.ukim.mk"/>
        <s v="r.j.kleverlaan@uu.nl"/>
        <s v="olivijaf@gmail.com"/>
        <s v="rita.pimentel@ntnu.no"/>
        <s v="kbolesta96@gmail.com"/>
        <s v="pwojcik@wne.uw.edu.pl"/>
        <s v="catarina@dei.uc.pt"/>
        <s v="albulena.shala@uni-pr.edu"/>
        <s v="coita.iflorina@gmail.com"/>
        <s v="stefana.cioban@ubbcluj.ro"/>
        <s v="codruta.mare@gmail.com"/>
        <s v="danpele@ase.ro"/>
        <s v="ciprian.sipos@e-uvt.ro"/>
        <s v="miljan.vucetic@vlatacom.com"/>
        <s v="denis.trcek@guest.arnes.si"/>
        <s v="saso.karakatic@um.si"/>
        <s v="javier.arroyo@fdi.ucm.es"/>
        <s v="brankahm@gmail.com"/>
        <s v="scwp@zhaw.ch"/>
        <s v="josterri@googlemail.com"/>
        <s v="lbarjaktarovic@singidunum.ac.rs"/>
        <s v="heb1@bfh.ch"/>
        <s v="belma.ozturkkal@khas.edu.tr"/>
      </sharedItems>
    </cacheField>
    <cacheField name="Which country are you affiliated to? (use Switzerland instead of CH)" numFmtId="0">
      <sharedItems>
        <s v="Albania"/>
        <s v="Algeria"/>
        <s v="Austria"/>
        <s v="Croatia"/>
        <s v="Cyprus"/>
        <s v="Czech Republic"/>
        <s v="España"/>
        <s v="Estonia"/>
        <s v="France"/>
        <s v="Germany"/>
        <s v="Greece"/>
        <s v="Hong Kong"/>
        <s v="Hungary"/>
        <s v="India"/>
        <s v="Ireland"/>
        <s v="Italy"/>
        <s v="Latvia"/>
        <s v="Lithuania"/>
        <s v="Malta"/>
        <s v="N. Macedonia"/>
        <s v="Netherlands"/>
        <s v="North Macedonia"/>
        <s v="Norway"/>
        <s v="Poland"/>
        <s v="Portugal"/>
        <s v="Republic of Kosovo"/>
        <s v="Romania"/>
        <s v="Serbia"/>
        <s v="Slovenia"/>
        <s v="Spain"/>
        <s v="Switzerland"/>
        <s v="CH"/>
        <s v="Switzerland "/>
        <s v="Turke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B36" firstHeaderRow="0" firstDataRow="1" firstDataCol="0"/>
  <pivotFields>
    <pivotField name="Email addre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Which country are you affiliated to? (use Switzerland instead of CH)" axis="axisRow" compact="0" outline="0" multipleItemSelectionAllowed="1" showAll="0" sortType="ascending">
      <items>
        <item x="0"/>
        <item x="1"/>
        <item x="2"/>
        <item x="31"/>
        <item x="3"/>
        <item x="4"/>
        <item x="5"/>
        <item x="6"/>
        <item x="7"/>
        <item x="8"/>
        <item x="9"/>
        <item x="10"/>
        <item x="11"/>
        <item x="12"/>
        <item x="13"/>
        <item x="14"/>
        <item x="15"/>
        <item x="16"/>
        <item x="17"/>
        <item x="18"/>
        <item x="19"/>
        <item x="20"/>
        <item x="21"/>
        <item x="22"/>
        <item x="23"/>
        <item x="24"/>
        <item x="25"/>
        <item x="26"/>
        <item x="27"/>
        <item x="28"/>
        <item x="29"/>
        <item x="30"/>
        <item x="32"/>
        <item x="33"/>
        <item t="default"/>
      </items>
    </pivotField>
  </pivotFields>
  <rowFields>
    <field x="1"/>
  </rowFields>
  <dataFields>
    <dataField name="COUNTA of Email address"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2-09-19T15:28:59.00" personId="{3d7c7150-6942-4c8b-a973-c6e322259752}" id="{8ccb36a3-056d-40a6-8dae-c104893987b8}" done="0">
    <x18tc:text xml:space="preserve">Proposal funded in 2018... surely, it should not go here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document/d/1g0peRJ3XNgu30mCtF8ryr7RWUX1eSjAe/edit?usp=sharing&amp;ouid=100307204068834796883&amp;rtpof=true&amp;sd=true" TargetMode="External"/><Relationship Id="rId22" Type="http://schemas.openxmlformats.org/officeDocument/2006/relationships/hyperlink" Target="https://docs.google.com/document/d/154fyD4OXUepnaxETMyAcJDFOiPuJhIv2/edit?usp=sharing&amp;ouid=114838286075587525311&amp;rtpof=true&amp;sd=true" TargetMode="External"/><Relationship Id="rId21" Type="http://schemas.openxmlformats.org/officeDocument/2006/relationships/hyperlink" Target="https://docs.google.com/document/d/165BiTMN2cpdH9UaH1EoZ4gcPsFYYHuL6T6L7TAy2sZw/edit" TargetMode="External"/><Relationship Id="rId24" Type="http://schemas.openxmlformats.org/officeDocument/2006/relationships/hyperlink" Target="https://docs.google.com/document/d/1RXh0FtykIGpPB9L7O8TSTJ8tTOjXQcSB/edit" TargetMode="External"/><Relationship Id="rId23" Type="http://schemas.openxmlformats.org/officeDocument/2006/relationships/hyperlink" Target="https://docs.google.com/document/d/1CwocoD6YQq1Nz_XIavnC81e92psgkVAR/edit" TargetMode="External"/><Relationship Id="rId1" Type="http://schemas.openxmlformats.org/officeDocument/2006/relationships/hyperlink" Target="https://docs.google.com/document/d/1Y0w27959kx0P0g-7Fgd3cu4Yd46gZ2OFnh4FJUsgIS8/edit" TargetMode="External"/><Relationship Id="rId2" Type="http://schemas.openxmlformats.org/officeDocument/2006/relationships/hyperlink" Target="https://docs.google.com/document/d/1Y0w27959kx0P0g-7Fgd3cu4Yd46gZ2OFnh4FJUsgIS8/edit" TargetMode="External"/><Relationship Id="rId3" Type="http://schemas.openxmlformats.org/officeDocument/2006/relationships/hyperlink" Target="https://docs.google.com/document/d/1iOZrM7AnjALr_yjkkJOtuyzlYeNvi_Xs4ehVZQZNGaA/edit" TargetMode="External"/><Relationship Id="rId4" Type="http://schemas.openxmlformats.org/officeDocument/2006/relationships/hyperlink" Target="https://docs.google.com/document/d/1BQPSzzDD8ycMBYnslpMdt1KrmjO9FPFk1g5prmcguMo/edit?usp=sharing" TargetMode="External"/><Relationship Id="rId9" Type="http://schemas.openxmlformats.org/officeDocument/2006/relationships/hyperlink" Target="https://docs.google.com/document/d/1YPxHBY2v8zGAL2bDBYXSWlD74VCGJwS7FduI8T_YJ6c/edit" TargetMode="External"/><Relationship Id="rId26" Type="http://schemas.openxmlformats.org/officeDocument/2006/relationships/hyperlink" Target="https://docs.google.com/document/d/1YIExduOhquNsFWPWwnBZg9Tn2GQ8SevvT-MU68x97cQ/edit" TargetMode="External"/><Relationship Id="rId25" Type="http://schemas.openxmlformats.org/officeDocument/2006/relationships/hyperlink" Target="https://docs.google.com/document/d/13H0x92x_1CnXmz1W38Yyl9RgCUuEa9gjrkmjVvU92qE/edit?usp=sharing" TargetMode="External"/><Relationship Id="rId28" Type="http://schemas.openxmlformats.org/officeDocument/2006/relationships/hyperlink" Target="https://docs.google.com/document/d/1Av8VJLbeUocD7klHcIvLvVr_JCGFxjap/edit?usp=sharing&amp;ouid=116591962908536436994&amp;rtpof=true&amp;sd=true" TargetMode="External"/><Relationship Id="rId27" Type="http://schemas.openxmlformats.org/officeDocument/2006/relationships/hyperlink" Target="https://docs.google.com/document/d/1uYG9HhIzCTZ1EDZC3G-eH4Yia8KFFpk2dScGNVDIA_Y/edit" TargetMode="External"/><Relationship Id="rId5" Type="http://schemas.openxmlformats.org/officeDocument/2006/relationships/hyperlink" Target="https://docs.google.com/document/d/1y36UVVrMeOXD3s3liJ7ecwAvajoizWXoAe_Bli9Wys8/edit" TargetMode="External"/><Relationship Id="rId6" Type="http://schemas.openxmlformats.org/officeDocument/2006/relationships/hyperlink" Target="https://docs.google.com/document/d/1oO7bb8LGn88X4S9V7P6NAFD765PrfGRM/edit?usp=sharing&amp;ouid=105279148080483818425&amp;rtpof=true&amp;sd=true" TargetMode="External"/><Relationship Id="rId29" Type="http://schemas.openxmlformats.org/officeDocument/2006/relationships/hyperlink" Target="https://docs.google.com/presentation/d/1vNClf1_yMVSIljvjaHS49utYK4Py0Juh/edit?usp=sharing&amp;ouid=116591962908536436994&amp;rtpof=true&amp;sd=true" TargetMode="External"/><Relationship Id="rId7" Type="http://schemas.openxmlformats.org/officeDocument/2006/relationships/hyperlink" Target="https://docs.google.com/document/d/1lrRwi7e_8bFQB39NKm4DgD-tgEZI6hcY/edit" TargetMode="External"/><Relationship Id="rId8" Type="http://schemas.openxmlformats.org/officeDocument/2006/relationships/hyperlink" Target="https://docs.google.com/document/d/18jME8nOvpYpCJZtKBuItQSCE33jCXDtyfpp5GE9rN8s/edit" TargetMode="External"/><Relationship Id="rId31" Type="http://schemas.openxmlformats.org/officeDocument/2006/relationships/hyperlink" Target="https://docs.google.com/document/d/1Xbc1HA5kamGsx31WRNKZDYFTOwyMCiYduwVKA2mNWsE/edit" TargetMode="External"/><Relationship Id="rId30" Type="http://schemas.openxmlformats.org/officeDocument/2006/relationships/hyperlink" Target="https://docs.google.com/document/d/1-opk_sBx_lDHkVqf8APVDfvIh3mvlj10/edit" TargetMode="External"/><Relationship Id="rId11" Type="http://schemas.openxmlformats.org/officeDocument/2006/relationships/hyperlink" Target="https://docs.google.com/document/d/1s2FJdQyUJl4b_POWwJvYLueVupqzezUc2EGpuq5Zpy0/edit?usp=sharing" TargetMode="External"/><Relationship Id="rId33" Type="http://schemas.openxmlformats.org/officeDocument/2006/relationships/hyperlink" Target="https://docs.google.com/document/d/1nQUCSv0YWMkRowrQU44uzVweUoCf0Cl8aUw78bj0V9o/edit" TargetMode="External"/><Relationship Id="rId10" Type="http://schemas.openxmlformats.org/officeDocument/2006/relationships/hyperlink" Target="https://docs.google.com/document/d/10xC_zEA3APqy0OqtIWPDivF9XtI20Y16Vy2BLWqqvQM/edit" TargetMode="External"/><Relationship Id="rId32" Type="http://schemas.openxmlformats.org/officeDocument/2006/relationships/hyperlink" Target="https://docs.google.com/document/d/1gCX7wuxcol0bB34DWD_VhJ0it7Aww1algEeVeVDCWrw/edit?usp=sharing" TargetMode="External"/><Relationship Id="rId13" Type="http://schemas.openxmlformats.org/officeDocument/2006/relationships/hyperlink" Target="https://docs.google.com/document/d/1zCJ0b3kScjtx6c3xAdEpjorVLjTmPsBdOCqavMGs1OA/edit?usp=sharing" TargetMode="External"/><Relationship Id="rId35" Type="http://schemas.openxmlformats.org/officeDocument/2006/relationships/drawing" Target="../drawings/drawing5.xml"/><Relationship Id="rId12" Type="http://schemas.openxmlformats.org/officeDocument/2006/relationships/hyperlink" Target="https://docs.google.com/document/d/140mQ2ePur80UbqIjNI2w4RpgqtqLjWTlspFwqMBxqAY/edit?usp=sharing" TargetMode="External"/><Relationship Id="rId34" Type="http://schemas.openxmlformats.org/officeDocument/2006/relationships/hyperlink" Target="https://docs.google.com/document/d/1nQUCSv0YWMkRowrQU44uzVweUoCf0Cl8aUw78bj0V9o/edit" TargetMode="External"/><Relationship Id="rId15" Type="http://schemas.openxmlformats.org/officeDocument/2006/relationships/hyperlink" Target="https://docs.google.com/document/d/1cIIZXssqNfgArRh5nNxZxjot95C4U3X7wKvnAZSLoHc/edit?usp=sharing" TargetMode="External"/><Relationship Id="rId14" Type="http://schemas.openxmlformats.org/officeDocument/2006/relationships/hyperlink" Target="https://docs.google.com/document/d/1Rw1CF21ASPSzI_Q7HIjCUI-RS1wizLlwmND2ob-cgeg/edit" TargetMode="External"/><Relationship Id="rId17" Type="http://schemas.openxmlformats.org/officeDocument/2006/relationships/hyperlink" Target="https://docs.google.com/document/d/1NFE0Qk8SF_guVBBbSwM5ReFXamp0f5FVPs7lceulR5c/edit?usp=sharing" TargetMode="External"/><Relationship Id="rId16" Type="http://schemas.openxmlformats.org/officeDocument/2006/relationships/hyperlink" Target="https://docs.google.com/document/d/1puJMR1go9Ff5Zce1XB4nOD6c4XMiyMgva0Ximavhcx0/edit" TargetMode="External"/><Relationship Id="rId19" Type="http://schemas.openxmlformats.org/officeDocument/2006/relationships/hyperlink" Target="https://docs.google.com/document/d/15aJpyctdKGChmTmZvojNtLrPXKc0UHXT0P2g6azpWos/edit?usp=sharing" TargetMode="External"/><Relationship Id="rId18" Type="http://schemas.openxmlformats.org/officeDocument/2006/relationships/hyperlink" Target="https://docs.google.com/document/d/1TxnRdadvV30loGWMaMJ5HyooUFrIfRZdFVoSFqDQeRA/edit?usp=sharin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oi.org/10.1007/s42521-021-00031-9" TargetMode="External"/><Relationship Id="rId42" Type="http://schemas.openxmlformats.org/officeDocument/2006/relationships/hyperlink" Target="https://doi.org/10.1007/s43546-021-00057-6" TargetMode="External"/><Relationship Id="rId41" Type="http://schemas.openxmlformats.org/officeDocument/2006/relationships/hyperlink" Target="https://doi.org/10.1007/s42521-021-00043-5" TargetMode="External"/><Relationship Id="rId44" Type="http://schemas.openxmlformats.org/officeDocument/2006/relationships/hyperlink" Target="https://doi.org/10.48550/arXiv.2208.12614" TargetMode="External"/><Relationship Id="rId43" Type="http://schemas.openxmlformats.org/officeDocument/2006/relationships/hyperlink" Target="https://doi.org/10.1007/978-3-030-73443-5_94-1" TargetMode="External"/><Relationship Id="rId46" Type="http://schemas.openxmlformats.org/officeDocument/2006/relationships/hyperlink" Target="http://dx.doi.org/10.2139/ssrn.3809329;" TargetMode="External"/><Relationship Id="rId45" Type="http://schemas.openxmlformats.org/officeDocument/2006/relationships/hyperlink" Target="https://doi.org/10.1016/j.ribaf.2021.101594" TargetMode="External"/><Relationship Id="rId107" Type="http://schemas.openxmlformats.org/officeDocument/2006/relationships/hyperlink" Target="mailto:codruta.mare@econ.ubbcluj.ro" TargetMode="External"/><Relationship Id="rId106" Type="http://schemas.openxmlformats.org/officeDocument/2006/relationships/hyperlink" Target="https://doi.org/10.3390/risks9060104" TargetMode="External"/><Relationship Id="rId105" Type="http://schemas.openxmlformats.org/officeDocument/2006/relationships/hyperlink" Target="mailto:codruta.mare@econ.ubbcluj.ro" TargetMode="External"/><Relationship Id="rId104" Type="http://schemas.openxmlformats.org/officeDocument/2006/relationships/hyperlink" Target="https://doi.org/10.3390/risks9060116" TargetMode="External"/><Relationship Id="rId109" Type="http://schemas.openxmlformats.org/officeDocument/2006/relationships/hyperlink" Target="https://doi.org/10.1007/s10198-022-01506-1" TargetMode="External"/><Relationship Id="rId108" Type="http://schemas.openxmlformats.org/officeDocument/2006/relationships/hyperlink" Target="mailto:codruta.mare@econ.ubbcluj.ro" TargetMode="External"/><Relationship Id="rId48" Type="http://schemas.openxmlformats.org/officeDocument/2006/relationships/hyperlink" Target="https://dx.doi.org/10.2139/ssrn.3911490" TargetMode="External"/><Relationship Id="rId47" Type="http://schemas.openxmlformats.org/officeDocument/2006/relationships/hyperlink" Target="https://doi.org/10.48550/arXiv.2107.08808" TargetMode="External"/><Relationship Id="rId49" Type="http://schemas.openxmlformats.org/officeDocument/2006/relationships/hyperlink" Target="https://doi.org/10.1007/s42521-022-00048-8" TargetMode="External"/><Relationship Id="rId103" Type="http://schemas.openxmlformats.org/officeDocument/2006/relationships/hyperlink" Target="https://doi.org/10.1080/1351847X.2021.1960403" TargetMode="External"/><Relationship Id="rId102" Type="http://schemas.openxmlformats.org/officeDocument/2006/relationships/hyperlink" Target="https://doi.org/10.1007/978-981-16-2765-1_6" TargetMode="External"/><Relationship Id="rId101" Type="http://schemas.openxmlformats.org/officeDocument/2006/relationships/hyperlink" Target="https://doi.org/10.1007/978-3-031-16474-3_40" TargetMode="External"/><Relationship Id="rId100" Type="http://schemas.openxmlformats.org/officeDocument/2006/relationships/hyperlink" Target="https://doi.org/10.3389/frai.2021.718450" TargetMode="External"/><Relationship Id="rId31" Type="http://schemas.openxmlformats.org/officeDocument/2006/relationships/hyperlink" Target="https://doi.org/10.1016/j.econlet.2022.110877" TargetMode="External"/><Relationship Id="rId30" Type="http://schemas.openxmlformats.org/officeDocument/2006/relationships/hyperlink" Target="https://doi.org/10.1016/j.frl.2021.102162" TargetMode="External"/><Relationship Id="rId33" Type="http://schemas.openxmlformats.org/officeDocument/2006/relationships/hyperlink" Target="https://doi.org/10.1214/20-AOS2019" TargetMode="External"/><Relationship Id="rId32" Type="http://schemas.openxmlformats.org/officeDocument/2006/relationships/hyperlink" Target="https://doi.org/10.1007/s42521-021-00045-3" TargetMode="External"/><Relationship Id="rId35" Type="http://schemas.openxmlformats.org/officeDocument/2006/relationships/hyperlink" Target="https://doi.org/10.1016/j.jspi.2020.10.007" TargetMode="External"/><Relationship Id="rId34" Type="http://schemas.openxmlformats.org/officeDocument/2006/relationships/hyperlink" Target="https://doi.org/10.1080/14697688.2021.1880023" TargetMode="External"/><Relationship Id="rId37" Type="http://schemas.openxmlformats.org/officeDocument/2006/relationships/hyperlink" Target="https://doi.org/10.1016/j.jedc.2021.104290" TargetMode="External"/><Relationship Id="rId36" Type="http://schemas.openxmlformats.org/officeDocument/2006/relationships/hyperlink" Target="https://doi.org/10.1111/rssc.12499" TargetMode="External"/><Relationship Id="rId39" Type="http://schemas.openxmlformats.org/officeDocument/2006/relationships/hyperlink" Target="https://dx.doi.org/10.2139/ssrn.3724814" TargetMode="External"/><Relationship Id="rId38" Type="http://schemas.openxmlformats.org/officeDocument/2006/relationships/hyperlink" Target="https://doi.org/10.1016/j.irfa.2021.101915" TargetMode="External"/><Relationship Id="rId20" Type="http://schemas.openxmlformats.org/officeDocument/2006/relationships/hyperlink" Target="http://doi.org/10.1016/j.omega.2019.05.004" TargetMode="External"/><Relationship Id="rId22" Type="http://schemas.openxmlformats.org/officeDocument/2006/relationships/hyperlink" Target="https://doi.org/10.1007/978-981-16-2418-6" TargetMode="External"/><Relationship Id="rId21" Type="http://schemas.openxmlformats.org/officeDocument/2006/relationships/hyperlink" Target="http://doi.org/10.1016/j.ejor.2019.12.002" TargetMode="External"/><Relationship Id="rId24" Type="http://schemas.openxmlformats.org/officeDocument/2006/relationships/hyperlink" Target="https://doi.org/10.1016/j.irfa.2021.101958" TargetMode="External"/><Relationship Id="rId23" Type="http://schemas.openxmlformats.org/officeDocument/2006/relationships/hyperlink" Target="https://doi.org/10.1016/j.intfin.2021.101321" TargetMode="External"/><Relationship Id="rId129" Type="http://schemas.openxmlformats.org/officeDocument/2006/relationships/hyperlink" Target="https://doi.org/10.2139/ssrn.4087569" TargetMode="External"/><Relationship Id="rId128" Type="http://schemas.openxmlformats.org/officeDocument/2006/relationships/hyperlink" Target="https://doi.org/10.2139/ssrn.4087569" TargetMode="External"/><Relationship Id="rId127" Type="http://schemas.openxmlformats.org/officeDocument/2006/relationships/hyperlink" Target="https://doi.org/10.2139/ssrn.3858730" TargetMode="External"/><Relationship Id="rId126" Type="http://schemas.openxmlformats.org/officeDocument/2006/relationships/hyperlink" Target="https://doi.org/10.1007/s42521-022-00063-9" TargetMode="External"/><Relationship Id="rId26" Type="http://schemas.openxmlformats.org/officeDocument/2006/relationships/hyperlink" Target="https://doi.org/10.1080/00036846.2020.1854671" TargetMode="External"/><Relationship Id="rId121" Type="http://schemas.openxmlformats.org/officeDocument/2006/relationships/hyperlink" Target="https://doi.org/10.2139/ssrn.3867800" TargetMode="External"/><Relationship Id="rId25" Type="http://schemas.openxmlformats.org/officeDocument/2006/relationships/hyperlink" Target="https://doi.org/10.1080/1351847X.2020.1869992" TargetMode="External"/><Relationship Id="rId120" Type="http://schemas.openxmlformats.org/officeDocument/2006/relationships/hyperlink" Target="https://doi.org/10.2139/ssrn.3865019" TargetMode="External"/><Relationship Id="rId28" Type="http://schemas.openxmlformats.org/officeDocument/2006/relationships/hyperlink" Target="https://doi.org/10.1016/j.qref.2020.02.004" TargetMode="External"/><Relationship Id="rId27" Type="http://schemas.openxmlformats.org/officeDocument/2006/relationships/hyperlink" Target="https://doi.org/10.1016/j.frl.2019.101405" TargetMode="External"/><Relationship Id="rId125" Type="http://schemas.openxmlformats.org/officeDocument/2006/relationships/hyperlink" Target="https://doi.org/10.3389/frai.2021.794996" TargetMode="External"/><Relationship Id="rId29" Type="http://schemas.openxmlformats.org/officeDocument/2006/relationships/hyperlink" Target="https://www.jstor.org/stable/48618930" TargetMode="External"/><Relationship Id="rId124" Type="http://schemas.openxmlformats.org/officeDocument/2006/relationships/hyperlink" Target="https://doi.org/10.2139/ssrn.3898792" TargetMode="External"/><Relationship Id="rId123" Type="http://schemas.openxmlformats.org/officeDocument/2006/relationships/hyperlink" Target="https://doi.org/10.2139/ssrn.3864867" TargetMode="External"/><Relationship Id="rId122" Type="http://schemas.openxmlformats.org/officeDocument/2006/relationships/hyperlink" Target="https://doi.org/10.2139/ssrn.3864965" TargetMode="External"/><Relationship Id="rId95" Type="http://schemas.openxmlformats.org/officeDocument/2006/relationships/hyperlink" Target="https://doi.org/10.1007/s42521-022-00065-7" TargetMode="External"/><Relationship Id="rId94" Type="http://schemas.openxmlformats.org/officeDocument/2006/relationships/hyperlink" Target="https://doi.org/10.15388/DAMSS.13.2022" TargetMode="External"/><Relationship Id="rId97" Type="http://schemas.openxmlformats.org/officeDocument/2006/relationships/hyperlink" Target="https://doi.org/10.3390/en15103839" TargetMode="External"/><Relationship Id="rId96" Type="http://schemas.openxmlformats.org/officeDocument/2006/relationships/hyperlink" Target="https://doi.org/10.1016/j.apenergy.2022.119182" TargetMode="External"/><Relationship Id="rId11" Type="http://schemas.openxmlformats.org/officeDocument/2006/relationships/hyperlink" Target="http://doi.org/10.1007/s11634-022-00508-4" TargetMode="External"/><Relationship Id="rId99" Type="http://schemas.openxmlformats.org/officeDocument/2006/relationships/hyperlink" Target="https://doi.org/10.1007/978-3-030-56219-9_9" TargetMode="External"/><Relationship Id="rId10" Type="http://schemas.openxmlformats.org/officeDocument/2006/relationships/hyperlink" Target="https://doi.org/10.4018/978-1-7998-5083-0.ch010" TargetMode="External"/><Relationship Id="rId98" Type="http://schemas.openxmlformats.org/officeDocument/2006/relationships/hyperlink" Target="https://doi.org/10.1504/IJCEE.2021.10043332" TargetMode="External"/><Relationship Id="rId13" Type="http://schemas.openxmlformats.org/officeDocument/2006/relationships/hyperlink" Target="http://doi.org/10.1016/j.ejor.2021.12.022" TargetMode="External"/><Relationship Id="rId12" Type="http://schemas.openxmlformats.org/officeDocument/2006/relationships/hyperlink" Target="http://doi.org/10.1016/j.eswa.2022.117423" TargetMode="External"/><Relationship Id="rId91" Type="http://schemas.openxmlformats.org/officeDocument/2006/relationships/hyperlink" Target="https://doi.org/10.1007/s42521-022-00062-w" TargetMode="External"/><Relationship Id="rId90" Type="http://schemas.openxmlformats.org/officeDocument/2006/relationships/hyperlink" Target="https://doi.org/10.1016/j.eswa.2020.114104" TargetMode="External"/><Relationship Id="rId93" Type="http://schemas.openxmlformats.org/officeDocument/2006/relationships/hyperlink" Target="https://doi.org/10.3389/frai.2022.827584" TargetMode="External"/><Relationship Id="rId92" Type="http://schemas.openxmlformats.org/officeDocument/2006/relationships/hyperlink" Target="https://doi.org/10.3390/math9172086" TargetMode="External"/><Relationship Id="rId118" Type="http://schemas.openxmlformats.org/officeDocument/2006/relationships/hyperlink" Target="https://doi.org/10.2139/ssrn.3796351" TargetMode="External"/><Relationship Id="rId117" Type="http://schemas.openxmlformats.org/officeDocument/2006/relationships/hyperlink" Target="https://doi.org/10.1007/s42521-022-00063-9" TargetMode="External"/><Relationship Id="rId116" Type="http://schemas.openxmlformats.org/officeDocument/2006/relationships/hyperlink" Target="https://doi.org/10.1186/s40854-021-00310-9" TargetMode="External"/><Relationship Id="rId115" Type="http://schemas.openxmlformats.org/officeDocument/2006/relationships/hyperlink" Target="https://doi.org/10.1016/j.elerap.2021.101079" TargetMode="External"/><Relationship Id="rId119" Type="http://schemas.openxmlformats.org/officeDocument/2006/relationships/hyperlink" Target="https://doi.org/10.3389/frai.2021.668465" TargetMode="External"/><Relationship Id="rId15" Type="http://schemas.openxmlformats.org/officeDocument/2006/relationships/hyperlink" Target="http://doi.org/10.1016/j.eswa.2021.115245" TargetMode="External"/><Relationship Id="rId110" Type="http://schemas.openxmlformats.org/officeDocument/2006/relationships/hyperlink" Target="mailto:codruta.mare@econ.ubbcluj.ro" TargetMode="External"/><Relationship Id="rId14" Type="http://schemas.openxmlformats.org/officeDocument/2006/relationships/hyperlink" Target="http://doi.org/10.1016/j.omega.2021.102543" TargetMode="External"/><Relationship Id="rId17" Type="http://schemas.openxmlformats.org/officeDocument/2006/relationships/hyperlink" Target="http://doi.org/10.1016/j.cor.2021.105281" TargetMode="External"/><Relationship Id="rId16" Type="http://schemas.openxmlformats.org/officeDocument/2006/relationships/hyperlink" Target="http://doi.org/10.1016/j.ejor.2021.04.016" TargetMode="External"/><Relationship Id="rId19" Type="http://schemas.openxmlformats.org/officeDocument/2006/relationships/hyperlink" Target="http://doi.org/10.1080/00273171.2019.1677208" TargetMode="External"/><Relationship Id="rId114" Type="http://schemas.openxmlformats.org/officeDocument/2006/relationships/hyperlink" Target="https://doi.org/10.1016/j.ipm.2021.102848" TargetMode="External"/><Relationship Id="rId18" Type="http://schemas.openxmlformats.org/officeDocument/2006/relationships/hyperlink" Target="http://doi.org/10.1007/s11750-021-00594-1" TargetMode="External"/><Relationship Id="rId113" Type="http://schemas.openxmlformats.org/officeDocument/2006/relationships/hyperlink" Target="https://doi.org/10.1016/j.ipm.2021.102848" TargetMode="External"/><Relationship Id="rId112" Type="http://schemas.openxmlformats.org/officeDocument/2006/relationships/hyperlink" Target="https://doi.org/10.15308/finiz-2020-97-102" TargetMode="External"/><Relationship Id="rId111" Type="http://schemas.openxmlformats.org/officeDocument/2006/relationships/hyperlink" Target="https://doi.org/10.1007/s10198-022-01506-1" TargetMode="External"/><Relationship Id="rId84" Type="http://schemas.openxmlformats.org/officeDocument/2006/relationships/hyperlink" Target="https://doi.org/10.1007/s42521-022-00060-y" TargetMode="External"/><Relationship Id="rId83" Type="http://schemas.openxmlformats.org/officeDocument/2006/relationships/hyperlink" Target="https://doi.org/10.1007/s42521-021-00045-3" TargetMode="External"/><Relationship Id="rId86" Type="http://schemas.openxmlformats.org/officeDocument/2006/relationships/hyperlink" Target="https://doi.org/10.1016/j.frl.2022.103411" TargetMode="External"/><Relationship Id="rId85" Type="http://schemas.openxmlformats.org/officeDocument/2006/relationships/hyperlink" Target="https://dx.doi.org/10.2139/ssrn.4173890" TargetMode="External"/><Relationship Id="rId88" Type="http://schemas.openxmlformats.org/officeDocument/2006/relationships/hyperlink" Target="https://doi.org/10.1016/j.eswa.2021.116261" TargetMode="External"/><Relationship Id="rId87" Type="http://schemas.openxmlformats.org/officeDocument/2006/relationships/hyperlink" Target="https://doi.org/10.1007/s42521-022-00055-9" TargetMode="External"/><Relationship Id="rId89" Type="http://schemas.openxmlformats.org/officeDocument/2006/relationships/hyperlink" Target="https://doi.org/10.1016/j.frl.2022.102941" TargetMode="External"/><Relationship Id="rId80" Type="http://schemas.openxmlformats.org/officeDocument/2006/relationships/hyperlink" Target="https://doi.org/10.3390/forecast3030030" TargetMode="External"/><Relationship Id="rId82" Type="http://schemas.openxmlformats.org/officeDocument/2006/relationships/hyperlink" Target="https://doi.org/10.1016/j.econlet.2022.110734" TargetMode="External"/><Relationship Id="rId81" Type="http://schemas.openxmlformats.org/officeDocument/2006/relationships/hyperlink" Target="https://doi.org/10.1007/s10551-021-04842-z" TargetMode="External"/><Relationship Id="rId1" Type="http://schemas.openxmlformats.org/officeDocument/2006/relationships/hyperlink" Target="http://dx.doi.org/10.13189/ujaf.2020.080402" TargetMode="External"/><Relationship Id="rId2" Type="http://schemas.openxmlformats.org/officeDocument/2006/relationships/hyperlink" Target="http://dx.doi.org/10.37394/23207.2021.18.102" TargetMode="External"/><Relationship Id="rId3" Type="http://schemas.openxmlformats.org/officeDocument/2006/relationships/hyperlink" Target="https://link.springer.com/article/10.1007/s42521-022-00054-w" TargetMode="External"/><Relationship Id="rId4" Type="http://schemas.openxmlformats.org/officeDocument/2006/relationships/hyperlink" Target="https://academic.oup.com/jfec/article/18/2/233/5133597" TargetMode="External"/><Relationship Id="rId9" Type="http://schemas.openxmlformats.org/officeDocument/2006/relationships/hyperlink" Target="https://doi.org/10.4324/9781003144410-8" TargetMode="External"/><Relationship Id="rId5" Type="http://schemas.openxmlformats.org/officeDocument/2006/relationships/hyperlink" Target="https://doi.org/10.1093/jjfinec/nby023" TargetMode="External"/><Relationship Id="rId6" Type="http://schemas.openxmlformats.org/officeDocument/2006/relationships/hyperlink" Target="https://www.mdpi.com/1911-8074/12/2/53" TargetMode="External"/><Relationship Id="rId7" Type="http://schemas.openxmlformats.org/officeDocument/2006/relationships/hyperlink" Target="https://link.springer.com/content/pdf/10.1007/978-3-030-51093-0.pdf" TargetMode="External"/><Relationship Id="rId8" Type="http://schemas.openxmlformats.org/officeDocument/2006/relationships/hyperlink" Target="https://doi.org/10.2478/crebss-2020-0007" TargetMode="External"/><Relationship Id="rId73" Type="http://schemas.openxmlformats.org/officeDocument/2006/relationships/hyperlink" Target="https://www.researchgate.net/publication/362223415_Blockchain-based_business_process_management_BPM_for_finance_the_case_of_loan-application" TargetMode="External"/><Relationship Id="rId72" Type="http://schemas.openxmlformats.org/officeDocument/2006/relationships/hyperlink" Target="https://doi.org/10.1007/978-3-031-15743-1_11" TargetMode="External"/><Relationship Id="rId75" Type="http://schemas.openxmlformats.org/officeDocument/2006/relationships/hyperlink" Target="https://doi-org.ucd.idm.oclc.org/10.1016/j.ijforecast.2022.01.005" TargetMode="External"/><Relationship Id="rId74" Type="http://schemas.openxmlformats.org/officeDocument/2006/relationships/hyperlink" Target="https://doi.org/10.1007/s42521-022-00066-6" TargetMode="External"/><Relationship Id="rId77" Type="http://schemas.openxmlformats.org/officeDocument/2006/relationships/hyperlink" Target="https://doi-org.ucd.idm.oclc.org/10.1016/j.resourpol.2021.102319" TargetMode="External"/><Relationship Id="rId76" Type="http://schemas.openxmlformats.org/officeDocument/2006/relationships/hyperlink" Target="https://doi-org.ucd.idm.oclc.org/10.1016/j.jcomm.2021.100240" TargetMode="External"/><Relationship Id="rId79" Type="http://schemas.openxmlformats.org/officeDocument/2006/relationships/hyperlink" Target="https://doi.org/10.1016/j.ijforecast.2021.11.001" TargetMode="External"/><Relationship Id="rId78" Type="http://schemas.openxmlformats.org/officeDocument/2006/relationships/hyperlink" Target="https://doi.org/10.1016/j.ijforecast.2020.10.002" TargetMode="External"/><Relationship Id="rId71" Type="http://schemas.openxmlformats.org/officeDocument/2006/relationships/hyperlink" Target="https://doi.org/10.1080/1351847X.2021.1960403" TargetMode="External"/><Relationship Id="rId70" Type="http://schemas.openxmlformats.org/officeDocument/2006/relationships/hyperlink" Target="https://dx.doi.org/10.2139/ssrn.3699345" TargetMode="External"/><Relationship Id="rId132" Type="http://schemas.openxmlformats.org/officeDocument/2006/relationships/hyperlink" Target="https://www.suerf.org/docx/f_b3101eef45fdacc2076e2043d1b3c39f_43507_suerf.pdf" TargetMode="External"/><Relationship Id="rId131" Type="http://schemas.openxmlformats.org/officeDocument/2006/relationships/hyperlink" Target="https://doi.org/10.3905/jfds.2021.1.078" TargetMode="External"/><Relationship Id="rId130" Type="http://schemas.openxmlformats.org/officeDocument/2006/relationships/hyperlink" Target="https://doi.org/10.3905/jfds.2022.1.109" TargetMode="External"/><Relationship Id="rId136" Type="http://schemas.openxmlformats.org/officeDocument/2006/relationships/drawing" Target="../drawings/drawing6.xml"/><Relationship Id="rId135" Type="http://schemas.openxmlformats.org/officeDocument/2006/relationships/hyperlink" Target="https://dx.doi.org/10.2139/ssrn.4227111" TargetMode="External"/><Relationship Id="rId134" Type="http://schemas.openxmlformats.org/officeDocument/2006/relationships/hyperlink" Target="https://dx.doi.org/10.2139/ssrn.3890364" TargetMode="External"/><Relationship Id="rId133" Type="http://schemas.openxmlformats.org/officeDocument/2006/relationships/hyperlink" Target="https://doi.org/10.1111/corg.12454" TargetMode="External"/><Relationship Id="rId62" Type="http://schemas.openxmlformats.org/officeDocument/2006/relationships/hyperlink" Target="https://dx.doi.org/10.2139/ssrn.3912753" TargetMode="External"/><Relationship Id="rId61" Type="http://schemas.openxmlformats.org/officeDocument/2006/relationships/hyperlink" Target="https://doi.org/10.48550/arXiv.2108.11921" TargetMode="External"/><Relationship Id="rId64" Type="http://schemas.openxmlformats.org/officeDocument/2006/relationships/hyperlink" Target="https://doi.org/10.48550/arXiv.2103.08447" TargetMode="External"/><Relationship Id="rId63" Type="http://schemas.openxmlformats.org/officeDocument/2006/relationships/hyperlink" Target="https://dx.doi.org/10.2139/ssrn.4150849" TargetMode="External"/><Relationship Id="rId66" Type="http://schemas.openxmlformats.org/officeDocument/2006/relationships/hyperlink" Target="https://doi.org/10.1016/j.jcomm.2021.100189" TargetMode="External"/><Relationship Id="rId65" Type="http://schemas.openxmlformats.org/officeDocument/2006/relationships/hyperlink" Target="https://doi.org/10.1007/s42521-022-00064-8" TargetMode="External"/><Relationship Id="rId68" Type="http://schemas.openxmlformats.org/officeDocument/2006/relationships/hyperlink" Target="https://doi.org/10.48550/arXiv.2108.11915" TargetMode="External"/><Relationship Id="rId67" Type="http://schemas.openxmlformats.org/officeDocument/2006/relationships/hyperlink" Target="https://doi.org/10.48550/arXiv.2101.10189" TargetMode="External"/><Relationship Id="rId60" Type="http://schemas.openxmlformats.org/officeDocument/2006/relationships/hyperlink" Target="https://doi.org/10.48550/arXiv.2110.09429" TargetMode="External"/><Relationship Id="rId69" Type="http://schemas.openxmlformats.org/officeDocument/2006/relationships/hyperlink" Target="https://doi.org/10.1016/j.jmva.2021.104881" TargetMode="External"/><Relationship Id="rId51" Type="http://schemas.openxmlformats.org/officeDocument/2006/relationships/hyperlink" Target="https://dx.doi.org/10.2139/ssrn.3987941" TargetMode="External"/><Relationship Id="rId50" Type="http://schemas.openxmlformats.org/officeDocument/2006/relationships/hyperlink" Target="https://doi.org/10.1007/s10614-021-10113-w" TargetMode="External"/><Relationship Id="rId53" Type="http://schemas.openxmlformats.org/officeDocument/2006/relationships/hyperlink" Target="https://doi.org/10.1142/S0217590822480010" TargetMode="External"/><Relationship Id="rId52" Type="http://schemas.openxmlformats.org/officeDocument/2006/relationships/hyperlink" Target="https://dx.doi.org/10.2139/ssrn.4209433" TargetMode="External"/><Relationship Id="rId55" Type="http://schemas.openxmlformats.org/officeDocument/2006/relationships/hyperlink" Target="https://doi.org/10.1016/j.jmva.2021.104869" TargetMode="External"/><Relationship Id="rId54" Type="http://schemas.openxmlformats.org/officeDocument/2006/relationships/hyperlink" Target="https://doi.org/10.48550/arXiv.2108.05721" TargetMode="External"/><Relationship Id="rId57" Type="http://schemas.openxmlformats.org/officeDocument/2006/relationships/hyperlink" Target="https://doi.org/10.48550/arXiv.2204.02757" TargetMode="External"/><Relationship Id="rId56" Type="http://schemas.openxmlformats.org/officeDocument/2006/relationships/hyperlink" Target="https://dx.doi.org/10.2139/ssrn.4079006" TargetMode="External"/><Relationship Id="rId59" Type="http://schemas.openxmlformats.org/officeDocument/2006/relationships/hyperlink" Target="https://dx.doi.org/10.2139/ssrn.4150849" TargetMode="External"/><Relationship Id="rId58" Type="http://schemas.openxmlformats.org/officeDocument/2006/relationships/hyperlink" Target="https://doi.org/10.1007/s00181-021-02027-1"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dx.doi.org/10.2139/ssrn.3809329;" TargetMode="External"/><Relationship Id="rId42" Type="http://schemas.openxmlformats.org/officeDocument/2006/relationships/hyperlink" Target="https://dx.doi.org/10.2139/ssrn.3911490" TargetMode="External"/><Relationship Id="rId41" Type="http://schemas.openxmlformats.org/officeDocument/2006/relationships/hyperlink" Target="https://doi.org/10.48550/arXiv.2107.08808" TargetMode="External"/><Relationship Id="rId44" Type="http://schemas.openxmlformats.org/officeDocument/2006/relationships/hyperlink" Target="https://doi.org/10.1007/s10614-021-10113-w" TargetMode="External"/><Relationship Id="rId43" Type="http://schemas.openxmlformats.org/officeDocument/2006/relationships/hyperlink" Target="https://doi.org/10.1007/s42521-022-00048-8" TargetMode="External"/><Relationship Id="rId46" Type="http://schemas.openxmlformats.org/officeDocument/2006/relationships/hyperlink" Target="https://dx.doi.org/10.2139/ssrn.4209433" TargetMode="External"/><Relationship Id="rId45" Type="http://schemas.openxmlformats.org/officeDocument/2006/relationships/hyperlink" Target="https://dx.doi.org/10.2139/ssrn.3987941" TargetMode="External"/><Relationship Id="rId107" Type="http://schemas.openxmlformats.org/officeDocument/2006/relationships/hyperlink" Target="https://doi.org/10.1007/s42521-022-00063-9" TargetMode="External"/><Relationship Id="rId106" Type="http://schemas.openxmlformats.org/officeDocument/2006/relationships/hyperlink" Target="https://doi.org/10.1186/s40854-021-00310-9" TargetMode="External"/><Relationship Id="rId105" Type="http://schemas.openxmlformats.org/officeDocument/2006/relationships/hyperlink" Target="https://doi.org/10.1016/j.elerap.2021.101079" TargetMode="External"/><Relationship Id="rId104" Type="http://schemas.openxmlformats.org/officeDocument/2006/relationships/hyperlink" Target="https://doi.org/10.1016/j.ipm.2021.102848" TargetMode="External"/><Relationship Id="rId109" Type="http://schemas.openxmlformats.org/officeDocument/2006/relationships/hyperlink" Target="https://doi.org/10.3389/frai.2021.668465" TargetMode="External"/><Relationship Id="rId108" Type="http://schemas.openxmlformats.org/officeDocument/2006/relationships/hyperlink" Target="https://doi.org/10.2139/ssrn.3796351" TargetMode="External"/><Relationship Id="rId48" Type="http://schemas.openxmlformats.org/officeDocument/2006/relationships/hyperlink" Target="https://doi.org/10.48550/arXiv.2108.05721" TargetMode="External"/><Relationship Id="rId47" Type="http://schemas.openxmlformats.org/officeDocument/2006/relationships/hyperlink" Target="https://doi.org/10.1142/S0217590822480010" TargetMode="External"/><Relationship Id="rId49" Type="http://schemas.openxmlformats.org/officeDocument/2006/relationships/hyperlink" Target="https://doi.org/10.1016/j.jmva.2021.104869" TargetMode="External"/><Relationship Id="rId103" Type="http://schemas.openxmlformats.org/officeDocument/2006/relationships/hyperlink" Target="https://doi.org/10.1016/j.ipm.2021.102848" TargetMode="External"/><Relationship Id="rId102" Type="http://schemas.openxmlformats.org/officeDocument/2006/relationships/hyperlink" Target="https://doi.org/10.15308/finiz-2020-97-102" TargetMode="External"/><Relationship Id="rId101" Type="http://schemas.openxmlformats.org/officeDocument/2006/relationships/hyperlink" Target="https://doi.org/10.1007/s10198-022-01506-1" TargetMode="External"/><Relationship Id="rId100" Type="http://schemas.openxmlformats.org/officeDocument/2006/relationships/hyperlink" Target="mailto:codruta.mare@econ.ubbcluj.ro" TargetMode="External"/><Relationship Id="rId31" Type="http://schemas.openxmlformats.org/officeDocument/2006/relationships/hyperlink" Target="https://doi.org/10.1016/j.jedc.2021.104290" TargetMode="External"/><Relationship Id="rId30" Type="http://schemas.openxmlformats.org/officeDocument/2006/relationships/hyperlink" Target="https://doi.org/10.1111/rssc.12499" TargetMode="External"/><Relationship Id="rId33" Type="http://schemas.openxmlformats.org/officeDocument/2006/relationships/hyperlink" Target="https://dx.doi.org/10.2139/ssrn.3724814" TargetMode="External"/><Relationship Id="rId32" Type="http://schemas.openxmlformats.org/officeDocument/2006/relationships/hyperlink" Target="https://doi.org/10.1016/j.irfa.2021.101915" TargetMode="External"/><Relationship Id="rId35" Type="http://schemas.openxmlformats.org/officeDocument/2006/relationships/hyperlink" Target="https://doi.org/10.1007/s42521-021-00043-5" TargetMode="External"/><Relationship Id="rId34" Type="http://schemas.openxmlformats.org/officeDocument/2006/relationships/hyperlink" Target="https://doi.org/10.1007/s42521-021-00031-9" TargetMode="External"/><Relationship Id="rId37" Type="http://schemas.openxmlformats.org/officeDocument/2006/relationships/hyperlink" Target="https://doi.org/10.1007/978-3-030-73443-5_94-1" TargetMode="External"/><Relationship Id="rId36" Type="http://schemas.openxmlformats.org/officeDocument/2006/relationships/hyperlink" Target="https://doi.org/10.1007/s43546-021-00057-6" TargetMode="External"/><Relationship Id="rId39" Type="http://schemas.openxmlformats.org/officeDocument/2006/relationships/hyperlink" Target="https://doi.org/10.1016/j.ribaf.2021.101594" TargetMode="External"/><Relationship Id="rId38" Type="http://schemas.openxmlformats.org/officeDocument/2006/relationships/hyperlink" Target="https://doi.org/10.48550/arXiv.2208.12614" TargetMode="External"/><Relationship Id="rId20" Type="http://schemas.openxmlformats.org/officeDocument/2006/relationships/hyperlink" Target="https://doi.org/10.1016/j.irfa.2021.101958" TargetMode="External"/><Relationship Id="rId22" Type="http://schemas.openxmlformats.org/officeDocument/2006/relationships/hyperlink" Target="https://doi.org/10.1080/00036846.2020.1854671" TargetMode="External"/><Relationship Id="rId21" Type="http://schemas.openxmlformats.org/officeDocument/2006/relationships/hyperlink" Target="https://doi.org/10.1080/1351847X.2020.1869992" TargetMode="External"/><Relationship Id="rId24" Type="http://schemas.openxmlformats.org/officeDocument/2006/relationships/hyperlink" Target="https://doi.org/10.1016/j.qref.2020.02.004" TargetMode="External"/><Relationship Id="rId23" Type="http://schemas.openxmlformats.org/officeDocument/2006/relationships/hyperlink" Target="https://doi.org/10.1016/j.frl.2019.101405" TargetMode="External"/><Relationship Id="rId129" Type="http://schemas.openxmlformats.org/officeDocument/2006/relationships/hyperlink" Target="https://doi.org/10.11118/actaun201866051337" TargetMode="External"/><Relationship Id="rId128" Type="http://schemas.openxmlformats.org/officeDocument/2006/relationships/hyperlink" Target="https://doi.org/10.18045/zbefri.2020.2.429" TargetMode="External"/><Relationship Id="rId127" Type="http://schemas.openxmlformats.org/officeDocument/2006/relationships/hyperlink" Target="https://doi.org/10.47743/ejes-2021-0103" TargetMode="External"/><Relationship Id="rId126" Type="http://schemas.openxmlformats.org/officeDocument/2006/relationships/hyperlink" Target="https://doi.org/10.7441/dokbat.2021.42" TargetMode="External"/><Relationship Id="rId26" Type="http://schemas.openxmlformats.org/officeDocument/2006/relationships/hyperlink" Target="https://doi.org/10.1016/j.frl.2021.102162" TargetMode="External"/><Relationship Id="rId121" Type="http://schemas.openxmlformats.org/officeDocument/2006/relationships/hyperlink" Target="https://doi.org/10.3905/jfds.2021.1.078" TargetMode="External"/><Relationship Id="rId25" Type="http://schemas.openxmlformats.org/officeDocument/2006/relationships/hyperlink" Target="https://www.jstor.org/stable/48618930" TargetMode="External"/><Relationship Id="rId120" Type="http://schemas.openxmlformats.org/officeDocument/2006/relationships/hyperlink" Target="https://doi.org/10.3905/jfds.2022.1.109" TargetMode="External"/><Relationship Id="rId28" Type="http://schemas.openxmlformats.org/officeDocument/2006/relationships/hyperlink" Target="https://doi.org/10.1080/14697688.2021.1880023" TargetMode="External"/><Relationship Id="rId27" Type="http://schemas.openxmlformats.org/officeDocument/2006/relationships/hyperlink" Target="https://doi.org/10.1214/20-AOS2019" TargetMode="External"/><Relationship Id="rId125" Type="http://schemas.openxmlformats.org/officeDocument/2006/relationships/hyperlink" Target="https://dx.doi.org/10.2139/ssrn.4227111" TargetMode="External"/><Relationship Id="rId29" Type="http://schemas.openxmlformats.org/officeDocument/2006/relationships/hyperlink" Target="https://doi.org/10.1016/j.jspi.2020.10.007" TargetMode="External"/><Relationship Id="rId124" Type="http://schemas.openxmlformats.org/officeDocument/2006/relationships/hyperlink" Target="https://dx.doi.org/10.2139/ssrn.3890364" TargetMode="External"/><Relationship Id="rId123" Type="http://schemas.openxmlformats.org/officeDocument/2006/relationships/hyperlink" Target="https://doi.org/10.1111/corg.12454" TargetMode="External"/><Relationship Id="rId122" Type="http://schemas.openxmlformats.org/officeDocument/2006/relationships/hyperlink" Target="https://www.suerf.org/docx/f_b3101eef45fdacc2076e2043d1b3c39f_43507_suerf.pdf" TargetMode="External"/><Relationship Id="rId95" Type="http://schemas.openxmlformats.org/officeDocument/2006/relationships/hyperlink" Target="mailto:codruta.mare@econ.ubbcluj.ro" TargetMode="External"/><Relationship Id="rId94" Type="http://schemas.openxmlformats.org/officeDocument/2006/relationships/hyperlink" Target="https://doi.org/10.3390/risks9060116" TargetMode="External"/><Relationship Id="rId97" Type="http://schemas.openxmlformats.org/officeDocument/2006/relationships/hyperlink" Target="mailto:codruta.mare@econ.ubbcluj.ro" TargetMode="External"/><Relationship Id="rId96" Type="http://schemas.openxmlformats.org/officeDocument/2006/relationships/hyperlink" Target="https://doi.org/10.3390/risks9060104" TargetMode="External"/><Relationship Id="rId11" Type="http://schemas.openxmlformats.org/officeDocument/2006/relationships/hyperlink" Target="http://doi.org/10.1016/j.eswa.2021.115245" TargetMode="External"/><Relationship Id="rId99" Type="http://schemas.openxmlformats.org/officeDocument/2006/relationships/hyperlink" Target="https://doi.org/10.1007/s10198-022-01506-1" TargetMode="External"/><Relationship Id="rId10" Type="http://schemas.openxmlformats.org/officeDocument/2006/relationships/hyperlink" Target="http://doi.org/10.1016/j.omega.2021.102543" TargetMode="External"/><Relationship Id="rId98" Type="http://schemas.openxmlformats.org/officeDocument/2006/relationships/hyperlink" Target="mailto:codruta.mare@econ.ubbcluj.ro" TargetMode="External"/><Relationship Id="rId13" Type="http://schemas.openxmlformats.org/officeDocument/2006/relationships/hyperlink" Target="http://doi.org/10.1016/j.cor.2021.105281" TargetMode="External"/><Relationship Id="rId12" Type="http://schemas.openxmlformats.org/officeDocument/2006/relationships/hyperlink" Target="http://doi.org/10.1016/j.ejor.2021.04.016" TargetMode="External"/><Relationship Id="rId91" Type="http://schemas.openxmlformats.org/officeDocument/2006/relationships/hyperlink" Target="https://doi.org/10.1007/978-3-031-16474-3_40" TargetMode="External"/><Relationship Id="rId90" Type="http://schemas.openxmlformats.org/officeDocument/2006/relationships/hyperlink" Target="https://doi.org/10.3389/frai.2021.718450" TargetMode="External"/><Relationship Id="rId93" Type="http://schemas.openxmlformats.org/officeDocument/2006/relationships/hyperlink" Target="https://doi.org/10.1080/1351847X.2021.1960403" TargetMode="External"/><Relationship Id="rId92" Type="http://schemas.openxmlformats.org/officeDocument/2006/relationships/hyperlink" Target="https://doi.org/10.1007/978-981-16-2765-1_6" TargetMode="External"/><Relationship Id="rId118" Type="http://schemas.openxmlformats.org/officeDocument/2006/relationships/hyperlink" Target="https://doi.org/10.2139/ssrn.4087569" TargetMode="External"/><Relationship Id="rId117" Type="http://schemas.openxmlformats.org/officeDocument/2006/relationships/hyperlink" Target="https://doi.org/10.2139/ssrn.3858730" TargetMode="External"/><Relationship Id="rId116" Type="http://schemas.openxmlformats.org/officeDocument/2006/relationships/hyperlink" Target="https://doi.org/10.1007/s42521-022-00063-9" TargetMode="External"/><Relationship Id="rId115" Type="http://schemas.openxmlformats.org/officeDocument/2006/relationships/hyperlink" Target="https://doi.org/10.3389/frai.2021.794996" TargetMode="External"/><Relationship Id="rId119" Type="http://schemas.openxmlformats.org/officeDocument/2006/relationships/hyperlink" Target="https://doi.org/10.2139/ssrn.4087569" TargetMode="External"/><Relationship Id="rId15" Type="http://schemas.openxmlformats.org/officeDocument/2006/relationships/hyperlink" Target="http://doi.org/10.1080/00273171.2019.1677208" TargetMode="External"/><Relationship Id="rId110" Type="http://schemas.openxmlformats.org/officeDocument/2006/relationships/hyperlink" Target="https://doi.org/10.2139/ssrn.3865019" TargetMode="External"/><Relationship Id="rId14" Type="http://schemas.openxmlformats.org/officeDocument/2006/relationships/hyperlink" Target="http://doi.org/10.1007/s11750-021-00594-1" TargetMode="External"/><Relationship Id="rId17" Type="http://schemas.openxmlformats.org/officeDocument/2006/relationships/hyperlink" Target="http://doi.org/10.1016/j.ejor.2019.12.002" TargetMode="External"/><Relationship Id="rId16" Type="http://schemas.openxmlformats.org/officeDocument/2006/relationships/hyperlink" Target="http://doi.org/10.1016/j.omega.2019.05.004" TargetMode="External"/><Relationship Id="rId19" Type="http://schemas.openxmlformats.org/officeDocument/2006/relationships/hyperlink" Target="https://doi.org/10.1016/j.intfin.2021.101321" TargetMode="External"/><Relationship Id="rId114" Type="http://schemas.openxmlformats.org/officeDocument/2006/relationships/hyperlink" Target="https://doi.org/10.2139/ssrn.3898792" TargetMode="External"/><Relationship Id="rId18" Type="http://schemas.openxmlformats.org/officeDocument/2006/relationships/hyperlink" Target="https://doi.org/10.1007/978-981-16-2418-6" TargetMode="External"/><Relationship Id="rId113" Type="http://schemas.openxmlformats.org/officeDocument/2006/relationships/hyperlink" Target="https://doi.org/10.2139/ssrn.3864867" TargetMode="External"/><Relationship Id="rId112" Type="http://schemas.openxmlformats.org/officeDocument/2006/relationships/hyperlink" Target="https://doi.org/10.2139/ssrn.3864965" TargetMode="External"/><Relationship Id="rId111" Type="http://schemas.openxmlformats.org/officeDocument/2006/relationships/hyperlink" Target="https://doi.org/10.2139/ssrn.3867800" TargetMode="External"/><Relationship Id="rId84" Type="http://schemas.openxmlformats.org/officeDocument/2006/relationships/hyperlink" Target="https://doi.org/10.1007/s42521-022-00062-w" TargetMode="External"/><Relationship Id="rId83" Type="http://schemas.openxmlformats.org/officeDocument/2006/relationships/hyperlink" Target="https://doi.org/10.1016/j.eswa.2020.114104" TargetMode="External"/><Relationship Id="rId86" Type="http://schemas.openxmlformats.org/officeDocument/2006/relationships/hyperlink" Target="https://doi.org/10.1016/j.apenergy.2022.119182" TargetMode="External"/><Relationship Id="rId85" Type="http://schemas.openxmlformats.org/officeDocument/2006/relationships/hyperlink" Target="https://doi.org/10.1007/s42521-022-00065-7" TargetMode="External"/><Relationship Id="rId88" Type="http://schemas.openxmlformats.org/officeDocument/2006/relationships/hyperlink" Target="https://doi.org/10.1504/IJCEE.2021.10043332" TargetMode="External"/><Relationship Id="rId87" Type="http://schemas.openxmlformats.org/officeDocument/2006/relationships/hyperlink" Target="https://doi.org/10.3390/en15103839" TargetMode="External"/><Relationship Id="rId89" Type="http://schemas.openxmlformats.org/officeDocument/2006/relationships/hyperlink" Target="https://doi.org/10.1007/978-3-030-56219-9_9" TargetMode="External"/><Relationship Id="rId80" Type="http://schemas.openxmlformats.org/officeDocument/2006/relationships/hyperlink" Target="https://doi.org/10.1007/s42521-022-00055-9" TargetMode="External"/><Relationship Id="rId82" Type="http://schemas.openxmlformats.org/officeDocument/2006/relationships/hyperlink" Target="https://doi.org/10.1016/j.frl.2022.102941" TargetMode="External"/><Relationship Id="rId81" Type="http://schemas.openxmlformats.org/officeDocument/2006/relationships/hyperlink" Target="https://doi.org/10.1016/j.eswa.2021.116261" TargetMode="External"/><Relationship Id="rId1" Type="http://schemas.openxmlformats.org/officeDocument/2006/relationships/hyperlink" Target="http://dx.doi.org/10.13189/ujaf.2020.080402" TargetMode="External"/><Relationship Id="rId2" Type="http://schemas.openxmlformats.org/officeDocument/2006/relationships/hyperlink" Target="mailto:llesh.lleshaj@unitir.edu.al" TargetMode="External"/><Relationship Id="rId3" Type="http://schemas.openxmlformats.org/officeDocument/2006/relationships/hyperlink" Target="http://dx.doi.org/10.37394/23207.2021.18.102" TargetMode="External"/><Relationship Id="rId4" Type="http://schemas.openxmlformats.org/officeDocument/2006/relationships/hyperlink" Target="https://doi.org/10.2478/crebss-2020-0007" TargetMode="External"/><Relationship Id="rId9" Type="http://schemas.openxmlformats.org/officeDocument/2006/relationships/hyperlink" Target="http://doi.org/10.1016/j.ejor.2021.12.022" TargetMode="External"/><Relationship Id="rId5" Type="http://schemas.openxmlformats.org/officeDocument/2006/relationships/hyperlink" Target="https://doi.org/10.4324/9781003144410-8" TargetMode="External"/><Relationship Id="rId6" Type="http://schemas.openxmlformats.org/officeDocument/2006/relationships/hyperlink" Target="https://doi.org/10.4018/978-1-7998-5083-0.ch010" TargetMode="External"/><Relationship Id="rId7" Type="http://schemas.openxmlformats.org/officeDocument/2006/relationships/hyperlink" Target="http://doi.org/10.1007/s11634-022-00508-4" TargetMode="External"/><Relationship Id="rId8" Type="http://schemas.openxmlformats.org/officeDocument/2006/relationships/hyperlink" Target="http://doi.org/10.1016/j.eswa.2022.117423" TargetMode="External"/><Relationship Id="rId73" Type="http://schemas.openxmlformats.org/officeDocument/2006/relationships/hyperlink" Target="https://doi.org/10.1016/j.ijforecast.2021.11.001" TargetMode="External"/><Relationship Id="rId72" Type="http://schemas.openxmlformats.org/officeDocument/2006/relationships/hyperlink" Target="https://doi.org/10.1016/j.ijforecast.2020.10.002" TargetMode="External"/><Relationship Id="rId75" Type="http://schemas.openxmlformats.org/officeDocument/2006/relationships/hyperlink" Target="https://doi.org/10.1007/s10551-021-04842-z" TargetMode="External"/><Relationship Id="rId74" Type="http://schemas.openxmlformats.org/officeDocument/2006/relationships/hyperlink" Target="https://doi.org/10.3390/forecast3030030" TargetMode="External"/><Relationship Id="rId77" Type="http://schemas.openxmlformats.org/officeDocument/2006/relationships/hyperlink" Target="https://doi.org/10.1007/s42521-021-00045-3" TargetMode="External"/><Relationship Id="rId76" Type="http://schemas.openxmlformats.org/officeDocument/2006/relationships/hyperlink" Target="https://doi.org/10.1016/j.econlet.2022.110734" TargetMode="External"/><Relationship Id="rId79" Type="http://schemas.openxmlformats.org/officeDocument/2006/relationships/hyperlink" Target="https://dx.doi.org/10.2139/ssrn.4173890" TargetMode="External"/><Relationship Id="rId78" Type="http://schemas.openxmlformats.org/officeDocument/2006/relationships/hyperlink" Target="https://doi.org/10.1007/s42521-022-00060-y" TargetMode="External"/><Relationship Id="rId71" Type="http://schemas.openxmlformats.org/officeDocument/2006/relationships/hyperlink" Target="https://doi-org.ucd.idm.oclc.org/10.1016/j.resourpol.2021.102319" TargetMode="External"/><Relationship Id="rId70" Type="http://schemas.openxmlformats.org/officeDocument/2006/relationships/hyperlink" Target="https://doi-org.ucd.idm.oclc.org/10.1016/j.jcomm.2021.100240" TargetMode="External"/><Relationship Id="rId132" Type="http://schemas.openxmlformats.org/officeDocument/2006/relationships/hyperlink" Target="https://sites.google.com/net.efzg.hr/tinfinconference/programme/book-of-abstracts" TargetMode="External"/><Relationship Id="rId131" Type="http://schemas.openxmlformats.org/officeDocument/2006/relationships/hyperlink" Target="https://doi.org/10.31577/ekoncas.2021.01.01" TargetMode="External"/><Relationship Id="rId130" Type="http://schemas.openxmlformats.org/officeDocument/2006/relationships/hyperlink" Target="https://doi.org/10.31577/ekoncas.2022.05.02" TargetMode="External"/><Relationship Id="rId133" Type="http://schemas.openxmlformats.org/officeDocument/2006/relationships/drawing" Target="../drawings/drawing7.xml"/><Relationship Id="rId62" Type="http://schemas.openxmlformats.org/officeDocument/2006/relationships/hyperlink" Target="https://doi.org/10.48550/arXiv.2108.11915" TargetMode="External"/><Relationship Id="rId61" Type="http://schemas.openxmlformats.org/officeDocument/2006/relationships/hyperlink" Target="https://doi.org/10.48550/arXiv.2101.10189" TargetMode="External"/><Relationship Id="rId64" Type="http://schemas.openxmlformats.org/officeDocument/2006/relationships/hyperlink" Target="https://dx.doi.org/10.2139/ssrn.3699345" TargetMode="External"/><Relationship Id="rId63" Type="http://schemas.openxmlformats.org/officeDocument/2006/relationships/hyperlink" Target="https://doi.org/10.1016/j.jmva.2021.104881" TargetMode="External"/><Relationship Id="rId66" Type="http://schemas.openxmlformats.org/officeDocument/2006/relationships/hyperlink" Target="https://doi.org/10.1007/978-3-031-15743-1_11" TargetMode="External"/><Relationship Id="rId65" Type="http://schemas.openxmlformats.org/officeDocument/2006/relationships/hyperlink" Target="https://doi.org/10.1080/1351847X.2021.1960403" TargetMode="External"/><Relationship Id="rId68" Type="http://schemas.openxmlformats.org/officeDocument/2006/relationships/hyperlink" Target="https://doi.org/10.1007/s42521-022-00066-6" TargetMode="External"/><Relationship Id="rId67" Type="http://schemas.openxmlformats.org/officeDocument/2006/relationships/hyperlink" Target="https://www.researchgate.net/publication/362223415_Blockchain-based_business_process_management_BPM_for_finance_the_case_of_loan-application" TargetMode="External"/><Relationship Id="rId60" Type="http://schemas.openxmlformats.org/officeDocument/2006/relationships/hyperlink" Target="https://doi.org/10.1016/j.jcomm.2021.100189" TargetMode="External"/><Relationship Id="rId69" Type="http://schemas.openxmlformats.org/officeDocument/2006/relationships/hyperlink" Target="https://doi-org.ucd.idm.oclc.org/10.1016/j.ijforecast.2022.01.005" TargetMode="External"/><Relationship Id="rId51" Type="http://schemas.openxmlformats.org/officeDocument/2006/relationships/hyperlink" Target="https://doi.org/10.48550/arXiv.2204.02757" TargetMode="External"/><Relationship Id="rId50" Type="http://schemas.openxmlformats.org/officeDocument/2006/relationships/hyperlink" Target="https://dx.doi.org/10.2139/ssrn.4079006" TargetMode="External"/><Relationship Id="rId53" Type="http://schemas.openxmlformats.org/officeDocument/2006/relationships/hyperlink" Target="https://dx.doi.org/10.2139/ssrn.4150849" TargetMode="External"/><Relationship Id="rId52" Type="http://schemas.openxmlformats.org/officeDocument/2006/relationships/hyperlink" Target="https://doi.org/10.1007/s00181-021-02027-1" TargetMode="External"/><Relationship Id="rId55" Type="http://schemas.openxmlformats.org/officeDocument/2006/relationships/hyperlink" Target="https://doi.org/10.48550/arXiv.2108.11921" TargetMode="External"/><Relationship Id="rId54" Type="http://schemas.openxmlformats.org/officeDocument/2006/relationships/hyperlink" Target="https://doi.org/10.48550/arXiv.2110.09429" TargetMode="External"/><Relationship Id="rId57" Type="http://schemas.openxmlformats.org/officeDocument/2006/relationships/hyperlink" Target="https://dx.doi.org/10.2139/ssrn.4150849" TargetMode="External"/><Relationship Id="rId56" Type="http://schemas.openxmlformats.org/officeDocument/2006/relationships/hyperlink" Target="https://dx.doi.org/10.2139/ssrn.3912753" TargetMode="External"/><Relationship Id="rId59" Type="http://schemas.openxmlformats.org/officeDocument/2006/relationships/hyperlink" Target="https://doi.org/10.1007/s42521-022-00064-8" TargetMode="External"/><Relationship Id="rId58" Type="http://schemas.openxmlformats.org/officeDocument/2006/relationships/hyperlink" Target="https://doi.org/10.48550/arXiv.2103.08447"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ic.ec.europa.eu/news/ufo-emerging-industries-new-value-chains-boosted-small-flying-objects-2022-02-22_en" TargetMode="External"/><Relationship Id="rId5" Type="http://schemas.openxmlformats.org/officeDocument/2006/relationships/drawing" Target="../drawings/drawing8.xml"/><Relationship Id="rId6"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1" Type="http://schemas.openxmlformats.org/officeDocument/2006/relationships/hyperlink" Target="mailto:belma.ozturkal@khas.edu.tr" TargetMode="External"/><Relationship Id="rId30" Type="http://schemas.openxmlformats.org/officeDocument/2006/relationships/hyperlink" Target="mailto:scwp@zhaw.ch" TargetMode="External"/><Relationship Id="rId33" Type="http://schemas.openxmlformats.org/officeDocument/2006/relationships/hyperlink" Target="mailto:alessandra.tanda@unipv.it" TargetMode="External"/><Relationship Id="rId32" Type="http://schemas.openxmlformats.org/officeDocument/2006/relationships/hyperlink" Target="mailto:sam.goundar@gmail.com" TargetMode="External"/><Relationship Id="rId35" Type="http://schemas.openxmlformats.org/officeDocument/2006/relationships/drawing" Target="../drawings/drawing9.xml"/><Relationship Id="rId34"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mailto:per.b.solibakke@ntnu.no"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11" Type="http://schemas.openxmlformats.org/officeDocument/2006/relationships/hyperlink" Target="mailto:alla.petukhina@htw-berlin.de" TargetMode="External"/><Relationship Id="rId10" Type="http://schemas.openxmlformats.org/officeDocument/2006/relationships/hyperlink" Target="mailto:innar.liiv@taltech.ee" TargetMode="External"/><Relationship Id="rId13" Type="http://schemas.openxmlformats.org/officeDocument/2006/relationships/hyperlink" Target="mailto:tuan.trinh@eitdigital.eu" TargetMode="External"/><Relationship Id="rId12" Type="http://schemas.openxmlformats.org/officeDocument/2006/relationships/hyperlink" Target="mailto:veniarakelian@yahoo.com" TargetMode="External"/><Relationship Id="rId15" Type="http://schemas.openxmlformats.org/officeDocument/2006/relationships/hyperlink" Target="about:blank" TargetMode="External"/><Relationship Id="rId14" Type="http://schemas.openxmlformats.org/officeDocument/2006/relationships/hyperlink" Target="mailto:hks7@hs.is"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 Id="rId1" Type="http://schemas.openxmlformats.org/officeDocument/2006/relationships/hyperlink" Target="mailto:rezartaperri@feut.edu.al" TargetMode="External"/><Relationship Id="rId2" Type="http://schemas.openxmlformats.org/officeDocument/2006/relationships/hyperlink" Target="mailto:ronald.hochreiter@wu.ac.at" TargetMode="External"/><Relationship Id="rId3" Type="http://schemas.openxmlformats.org/officeDocument/2006/relationships/hyperlink" Target="mailto:christian.hafner@uclouvain.be" TargetMode="External"/><Relationship Id="rId4" Type="http://schemas.openxmlformats.org/officeDocument/2006/relationships/hyperlink" Target="mailto:jelena.poljasevic@ef.unibl.org" TargetMode="External"/><Relationship Id="rId9" Type="http://schemas.openxmlformats.org/officeDocument/2006/relationships/hyperlink" Target="mailto:drm.eco@cbs.dk" TargetMode="External"/><Relationship Id="rId5" Type="http://schemas.openxmlformats.org/officeDocument/2006/relationships/hyperlink" Target="mailto:ygorbounov@nbu.bg" TargetMode="External"/><Relationship Id="rId6" Type="http://schemas.openxmlformats.org/officeDocument/2006/relationships/hyperlink" Target="mailto:aivanisev@net.efzg.hr" TargetMode="External"/><Relationship Id="rId7" Type="http://schemas.openxmlformats.org/officeDocument/2006/relationships/hyperlink" Target="mailto:andreas.gregoriades@cut.ac.cy" TargetMode="External"/><Relationship Id="rId8" Type="http://schemas.openxmlformats.org/officeDocument/2006/relationships/hyperlink" Target="mailto:oleg@muni.c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27.63"/>
    <col customWidth="1" min="3" max="3" width="24.13"/>
    <col customWidth="1" min="4" max="4" width="1089.38"/>
    <col customWidth="1" min="5" max="5" width="1495.38"/>
    <col customWidth="1" min="6" max="6" width="71.25"/>
    <col customWidth="1" min="7" max="7" width="97.13"/>
    <col customWidth="1" min="8" max="8" width="101.5"/>
    <col customWidth="1" min="9" max="9" width="42.25"/>
    <col customWidth="1" min="10" max="10" width="230.5"/>
    <col customWidth="1" min="11" max="11" width="137.38"/>
    <col customWidth="1" min="12" max="12" width="109.63"/>
    <col customWidth="1" min="13" max="13" width="5.38"/>
    <col customWidth="1" min="14" max="14" width="30.25"/>
    <col customWidth="1" min="15" max="15" width="362.13"/>
    <col customWidth="1" min="16" max="16" width="35.0"/>
    <col customWidth="1" min="17" max="24" width="18.88"/>
  </cols>
  <sheetData>
    <row r="1">
      <c r="A1" s="1" t="s">
        <v>0</v>
      </c>
      <c r="B1" s="1" t="s">
        <v>1</v>
      </c>
      <c r="C1" s="2" t="s">
        <v>2</v>
      </c>
      <c r="D1" s="2" t="s">
        <v>3</v>
      </c>
      <c r="E1" s="2" t="s">
        <v>4</v>
      </c>
      <c r="F1" s="2" t="s">
        <v>5</v>
      </c>
      <c r="G1" s="2" t="s">
        <v>6</v>
      </c>
      <c r="H1" s="2" t="s">
        <v>7</v>
      </c>
      <c r="I1" s="2" t="s">
        <v>8</v>
      </c>
      <c r="J1" s="1" t="s">
        <v>9</v>
      </c>
      <c r="K1" s="1" t="s">
        <v>10</v>
      </c>
      <c r="L1" s="1" t="s">
        <v>11</v>
      </c>
      <c r="M1" s="2" t="s">
        <v>12</v>
      </c>
      <c r="N1" s="2" t="s">
        <v>13</v>
      </c>
      <c r="O1" s="2" t="s">
        <v>14</v>
      </c>
      <c r="P1" s="2" t="s">
        <v>15</v>
      </c>
      <c r="Q1" s="2" t="s">
        <v>16</v>
      </c>
      <c r="R1" s="2" t="s">
        <v>16</v>
      </c>
    </row>
    <row r="2">
      <c r="A2" s="3">
        <v>44752.810493275465</v>
      </c>
      <c r="B2" s="2" t="s">
        <v>17</v>
      </c>
      <c r="C2" s="2" t="s">
        <v>18</v>
      </c>
      <c r="D2" s="2" t="s">
        <v>19</v>
      </c>
      <c r="E2" s="2" t="s">
        <v>20</v>
      </c>
      <c r="F2" s="2" t="s">
        <v>21</v>
      </c>
      <c r="H2" s="2" t="s">
        <v>21</v>
      </c>
      <c r="J2" s="2" t="s">
        <v>21</v>
      </c>
      <c r="K2" s="2" t="s">
        <v>22</v>
      </c>
      <c r="L2" s="2" t="s">
        <v>21</v>
      </c>
      <c r="M2" s="4">
        <v>0.0</v>
      </c>
      <c r="N2" s="2" t="s">
        <v>23</v>
      </c>
      <c r="P2" s="2" t="s">
        <v>21</v>
      </c>
      <c r="Q2" s="5"/>
      <c r="R2" s="5"/>
    </row>
    <row r="3">
      <c r="A3" s="3">
        <v>44756.97636635417</v>
      </c>
      <c r="B3" s="2" t="s">
        <v>24</v>
      </c>
      <c r="C3" s="2" t="s">
        <v>18</v>
      </c>
      <c r="D3" s="2" t="s">
        <v>21</v>
      </c>
      <c r="E3" s="2" t="s">
        <v>25</v>
      </c>
      <c r="F3" s="2" t="s">
        <v>21</v>
      </c>
      <c r="H3" s="2" t="s">
        <v>21</v>
      </c>
      <c r="J3" s="2" t="s">
        <v>21</v>
      </c>
      <c r="K3" s="2" t="s">
        <v>21</v>
      </c>
      <c r="L3" s="2" t="s">
        <v>22</v>
      </c>
      <c r="M3" s="4">
        <v>0.0</v>
      </c>
      <c r="N3" s="2" t="s">
        <v>26</v>
      </c>
      <c r="P3" s="2" t="s">
        <v>21</v>
      </c>
      <c r="Q3" s="5"/>
      <c r="R3" s="5"/>
    </row>
    <row r="4">
      <c r="A4" s="3">
        <v>44772.58926746528</v>
      </c>
      <c r="B4" s="2" t="s">
        <v>27</v>
      </c>
      <c r="C4" s="2" t="s">
        <v>28</v>
      </c>
      <c r="D4" s="2" t="s">
        <v>21</v>
      </c>
      <c r="E4" s="2" t="s">
        <v>29</v>
      </c>
      <c r="F4" s="2" t="s">
        <v>22</v>
      </c>
      <c r="H4" s="2" t="s">
        <v>21</v>
      </c>
      <c r="J4" s="2" t="s">
        <v>22</v>
      </c>
      <c r="K4" s="2" t="s">
        <v>22</v>
      </c>
      <c r="L4" s="2" t="s">
        <v>21</v>
      </c>
      <c r="M4" s="4">
        <v>0.0</v>
      </c>
      <c r="N4" s="2" t="s">
        <v>30</v>
      </c>
      <c r="O4" s="2" t="s">
        <v>31</v>
      </c>
      <c r="P4" s="2" t="s">
        <v>22</v>
      </c>
      <c r="Q4" s="5"/>
      <c r="R4" s="5"/>
    </row>
    <row r="5">
      <c r="A5" s="3">
        <v>44736.4749371412</v>
      </c>
      <c r="B5" s="2" t="s">
        <v>32</v>
      </c>
      <c r="C5" s="2" t="s">
        <v>33</v>
      </c>
      <c r="D5" s="2" t="s">
        <v>34</v>
      </c>
      <c r="E5" s="2" t="s">
        <v>35</v>
      </c>
      <c r="F5" s="2" t="s">
        <v>21</v>
      </c>
      <c r="H5" s="2" t="s">
        <v>21</v>
      </c>
      <c r="J5" s="2" t="s">
        <v>21</v>
      </c>
      <c r="K5" s="2" t="s">
        <v>22</v>
      </c>
      <c r="L5" s="2" t="s">
        <v>22</v>
      </c>
      <c r="M5" s="4">
        <v>0.0</v>
      </c>
      <c r="N5" s="2" t="s">
        <v>26</v>
      </c>
      <c r="P5" s="2" t="s">
        <v>22</v>
      </c>
      <c r="Q5" s="5"/>
      <c r="R5" s="5"/>
    </row>
    <row r="6">
      <c r="A6" s="3">
        <v>44746.815587986115</v>
      </c>
      <c r="B6" s="2" t="s">
        <v>36</v>
      </c>
      <c r="C6" s="2" t="s">
        <v>37</v>
      </c>
      <c r="D6" s="2" t="s">
        <v>38</v>
      </c>
      <c r="E6" s="2" t="s">
        <v>39</v>
      </c>
      <c r="F6" s="2" t="s">
        <v>21</v>
      </c>
      <c r="H6" s="2" t="s">
        <v>21</v>
      </c>
      <c r="J6" s="2" t="s">
        <v>21</v>
      </c>
      <c r="K6" s="2" t="s">
        <v>21</v>
      </c>
      <c r="L6" s="2" t="s">
        <v>21</v>
      </c>
      <c r="M6" s="4">
        <v>0.0</v>
      </c>
      <c r="N6" s="2" t="s">
        <v>40</v>
      </c>
      <c r="O6" s="2" t="s">
        <v>41</v>
      </c>
      <c r="P6" s="2" t="s">
        <v>21</v>
      </c>
      <c r="Q6" s="5"/>
      <c r="R6" s="5"/>
    </row>
    <row r="7">
      <c r="A7" s="3">
        <v>44796.414113969906</v>
      </c>
      <c r="B7" s="2" t="s">
        <v>42</v>
      </c>
      <c r="C7" s="2" t="s">
        <v>37</v>
      </c>
      <c r="D7" s="2" t="s">
        <v>38</v>
      </c>
      <c r="E7" s="2" t="s">
        <v>43</v>
      </c>
      <c r="F7" s="2" t="s">
        <v>21</v>
      </c>
      <c r="H7" s="2" t="s">
        <v>21</v>
      </c>
      <c r="J7" s="2" t="s">
        <v>21</v>
      </c>
      <c r="K7" s="2" t="s">
        <v>22</v>
      </c>
      <c r="L7" s="2" t="s">
        <v>21</v>
      </c>
      <c r="M7" s="4">
        <v>0.0</v>
      </c>
      <c r="N7" s="2" t="s">
        <v>30</v>
      </c>
      <c r="P7" s="2" t="s">
        <v>21</v>
      </c>
    </row>
    <row r="8">
      <c r="A8" s="3">
        <v>44752.78773258102</v>
      </c>
      <c r="B8" s="2" t="s">
        <v>44</v>
      </c>
      <c r="C8" s="2" t="s">
        <v>45</v>
      </c>
      <c r="D8" s="2" t="s">
        <v>21</v>
      </c>
      <c r="E8" s="2" t="s">
        <v>46</v>
      </c>
      <c r="F8" s="2" t="s">
        <v>21</v>
      </c>
      <c r="H8" s="2" t="s">
        <v>21</v>
      </c>
      <c r="J8" s="2" t="s">
        <v>21</v>
      </c>
      <c r="K8" s="2" t="s">
        <v>21</v>
      </c>
      <c r="L8" s="2" t="s">
        <v>21</v>
      </c>
      <c r="M8" s="4">
        <v>0.0</v>
      </c>
      <c r="N8" s="2" t="s">
        <v>23</v>
      </c>
      <c r="P8" s="2" t="s">
        <v>22</v>
      </c>
    </row>
    <row r="9">
      <c r="A9" s="3">
        <v>44736.42728502315</v>
      </c>
      <c r="B9" s="2" t="s">
        <v>47</v>
      </c>
      <c r="C9" s="6" t="s">
        <v>48</v>
      </c>
      <c r="D9" s="2" t="s">
        <v>38</v>
      </c>
      <c r="E9" s="2" t="s">
        <v>21</v>
      </c>
      <c r="F9" s="2" t="s">
        <v>21</v>
      </c>
      <c r="H9" s="2" t="s">
        <v>22</v>
      </c>
      <c r="J9" s="2" t="s">
        <v>22</v>
      </c>
      <c r="K9" s="2" t="s">
        <v>22</v>
      </c>
      <c r="L9" s="2" t="s">
        <v>21</v>
      </c>
      <c r="M9" s="4">
        <v>0.0</v>
      </c>
      <c r="N9" s="2" t="s">
        <v>30</v>
      </c>
      <c r="P9" s="2" t="s">
        <v>22</v>
      </c>
      <c r="Q9" s="5"/>
      <c r="R9" s="5"/>
    </row>
    <row r="10">
      <c r="A10" s="3">
        <v>44796.43236641204</v>
      </c>
      <c r="B10" s="2" t="s">
        <v>49</v>
      </c>
      <c r="C10" s="2" t="s">
        <v>50</v>
      </c>
      <c r="D10" s="2" t="s">
        <v>51</v>
      </c>
      <c r="E10" s="2" t="s">
        <v>52</v>
      </c>
      <c r="F10" s="2" t="s">
        <v>22</v>
      </c>
      <c r="H10" s="2" t="s">
        <v>22</v>
      </c>
      <c r="J10" s="2" t="s">
        <v>22</v>
      </c>
      <c r="K10" s="2" t="s">
        <v>21</v>
      </c>
      <c r="L10" s="2" t="s">
        <v>21</v>
      </c>
      <c r="M10" s="4">
        <v>0.0</v>
      </c>
      <c r="N10" s="2" t="s">
        <v>30</v>
      </c>
      <c r="P10" s="2" t="s">
        <v>22</v>
      </c>
    </row>
    <row r="11">
      <c r="A11" s="3">
        <v>44736.80263181713</v>
      </c>
      <c r="B11" s="2" t="s">
        <v>53</v>
      </c>
      <c r="C11" s="2" t="s">
        <v>54</v>
      </c>
      <c r="D11" s="2" t="s">
        <v>21</v>
      </c>
      <c r="E11" s="2" t="s">
        <v>21</v>
      </c>
      <c r="F11" s="2" t="s">
        <v>21</v>
      </c>
      <c r="H11" s="2" t="s">
        <v>21</v>
      </c>
      <c r="J11" s="2" t="s">
        <v>21</v>
      </c>
      <c r="K11" s="2" t="s">
        <v>22</v>
      </c>
      <c r="L11" s="2" t="s">
        <v>22</v>
      </c>
      <c r="M11" s="4">
        <v>0.0</v>
      </c>
      <c r="N11" s="2" t="s">
        <v>23</v>
      </c>
      <c r="P11" s="2" t="s">
        <v>21</v>
      </c>
      <c r="Q11" s="5"/>
      <c r="R11" s="5"/>
    </row>
    <row r="12">
      <c r="A12" s="3">
        <v>44753.417887523145</v>
      </c>
      <c r="B12" s="2" t="s">
        <v>55</v>
      </c>
      <c r="C12" s="2" t="s">
        <v>54</v>
      </c>
      <c r="D12" s="2" t="s">
        <v>38</v>
      </c>
      <c r="E12" s="2" t="s">
        <v>56</v>
      </c>
      <c r="F12" s="2" t="s">
        <v>22</v>
      </c>
      <c r="H12" s="2" t="s">
        <v>21</v>
      </c>
      <c r="J12" s="2" t="s">
        <v>21</v>
      </c>
      <c r="K12" s="2" t="s">
        <v>22</v>
      </c>
      <c r="L12" s="2" t="s">
        <v>22</v>
      </c>
      <c r="M12" s="4">
        <v>0.0</v>
      </c>
      <c r="N12" s="2" t="s">
        <v>57</v>
      </c>
      <c r="O12" s="2" t="s">
        <v>58</v>
      </c>
      <c r="P12" s="2" t="s">
        <v>21</v>
      </c>
      <c r="Q12" s="5"/>
      <c r="R12" s="5"/>
    </row>
    <row r="13">
      <c r="A13" s="3">
        <v>44735.47251886574</v>
      </c>
      <c r="B13" s="2" t="s">
        <v>59</v>
      </c>
      <c r="C13" s="2" t="s">
        <v>60</v>
      </c>
      <c r="D13" s="2" t="s">
        <v>61</v>
      </c>
      <c r="E13" s="2" t="s">
        <v>62</v>
      </c>
      <c r="F13" s="2" t="s">
        <v>22</v>
      </c>
      <c r="H13" s="2" t="s">
        <v>21</v>
      </c>
      <c r="I13" s="2" t="s">
        <v>22</v>
      </c>
      <c r="J13" s="2" t="s">
        <v>22</v>
      </c>
      <c r="K13" s="2" t="s">
        <v>22</v>
      </c>
      <c r="L13" s="2" t="s">
        <v>21</v>
      </c>
      <c r="M13" s="4">
        <v>0.0</v>
      </c>
      <c r="N13" s="2" t="s">
        <v>63</v>
      </c>
      <c r="O13" s="2" t="s">
        <v>64</v>
      </c>
      <c r="P13" s="5"/>
    </row>
    <row r="14">
      <c r="A14" s="3">
        <v>44749.08729268519</v>
      </c>
      <c r="B14" s="2" t="s">
        <v>65</v>
      </c>
      <c r="C14" s="2" t="s">
        <v>60</v>
      </c>
      <c r="D14" s="2" t="s">
        <v>66</v>
      </c>
      <c r="E14" s="2" t="s">
        <v>67</v>
      </c>
      <c r="F14" s="2" t="s">
        <v>22</v>
      </c>
      <c r="H14" s="2" t="s">
        <v>22</v>
      </c>
      <c r="J14" s="2" t="s">
        <v>22</v>
      </c>
      <c r="K14" s="2" t="s">
        <v>21</v>
      </c>
      <c r="L14" s="2" t="s">
        <v>22</v>
      </c>
      <c r="M14" s="4">
        <v>0.0</v>
      </c>
      <c r="N14" s="2" t="s">
        <v>23</v>
      </c>
      <c r="P14" s="2" t="s">
        <v>22</v>
      </c>
    </row>
    <row r="15">
      <c r="A15" s="3">
        <v>44736.41695644676</v>
      </c>
      <c r="B15" s="2" t="s">
        <v>68</v>
      </c>
      <c r="C15" s="2" t="s">
        <v>69</v>
      </c>
      <c r="D15" s="2" t="s">
        <v>70</v>
      </c>
      <c r="E15" s="2" t="s">
        <v>71</v>
      </c>
      <c r="F15" s="2" t="s">
        <v>22</v>
      </c>
      <c r="H15" s="2" t="s">
        <v>22</v>
      </c>
      <c r="J15" s="2" t="s">
        <v>22</v>
      </c>
      <c r="K15" s="2" t="s">
        <v>22</v>
      </c>
      <c r="L15" s="2" t="s">
        <v>22</v>
      </c>
      <c r="M15" s="4">
        <v>0.0</v>
      </c>
      <c r="N15" s="2" t="s">
        <v>23</v>
      </c>
      <c r="P15" s="2" t="s">
        <v>22</v>
      </c>
    </row>
    <row r="16">
      <c r="A16" s="3">
        <v>44748.498228020835</v>
      </c>
      <c r="B16" s="2" t="s">
        <v>72</v>
      </c>
      <c r="C16" s="2" t="s">
        <v>69</v>
      </c>
      <c r="D16" s="2" t="s">
        <v>38</v>
      </c>
      <c r="E16" s="2" t="s">
        <v>73</v>
      </c>
      <c r="F16" s="2" t="s">
        <v>22</v>
      </c>
      <c r="H16" s="2" t="s">
        <v>21</v>
      </c>
      <c r="J16" s="2" t="s">
        <v>21</v>
      </c>
      <c r="K16" s="2" t="s">
        <v>22</v>
      </c>
      <c r="L16" s="2" t="s">
        <v>21</v>
      </c>
      <c r="M16" s="4">
        <v>0.0</v>
      </c>
      <c r="N16" s="2" t="s">
        <v>23</v>
      </c>
      <c r="O16" s="2" t="s">
        <v>74</v>
      </c>
      <c r="P16" s="2" t="s">
        <v>22</v>
      </c>
    </row>
    <row r="17">
      <c r="A17" s="3">
        <v>44729.57804959491</v>
      </c>
      <c r="B17" s="2" t="s">
        <v>75</v>
      </c>
      <c r="C17" s="2" t="s">
        <v>76</v>
      </c>
      <c r="D17" s="2" t="s">
        <v>77</v>
      </c>
      <c r="E17" s="2" t="s">
        <v>78</v>
      </c>
      <c r="F17" s="2" t="s">
        <v>22</v>
      </c>
      <c r="G17" s="2" t="s">
        <v>21</v>
      </c>
      <c r="H17" s="2" t="s">
        <v>22</v>
      </c>
      <c r="I17" s="2" t="s">
        <v>22</v>
      </c>
      <c r="J17" s="2" t="s">
        <v>22</v>
      </c>
      <c r="K17" s="2" t="s">
        <v>22</v>
      </c>
      <c r="L17" s="2" t="s">
        <v>21</v>
      </c>
      <c r="M17" s="4">
        <v>0.0</v>
      </c>
      <c r="N17" s="2" t="s">
        <v>57</v>
      </c>
      <c r="O17" s="5"/>
      <c r="P17" s="5"/>
    </row>
    <row r="18">
      <c r="A18" s="3">
        <v>44749.722844675925</v>
      </c>
      <c r="B18" s="2" t="s">
        <v>79</v>
      </c>
      <c r="C18" s="2" t="s">
        <v>76</v>
      </c>
      <c r="D18" s="2" t="s">
        <v>80</v>
      </c>
      <c r="E18" s="2" t="s">
        <v>81</v>
      </c>
      <c r="F18" s="2" t="s">
        <v>21</v>
      </c>
      <c r="H18" s="2" t="s">
        <v>21</v>
      </c>
      <c r="J18" s="2" t="s">
        <v>21</v>
      </c>
      <c r="K18" s="2" t="s">
        <v>22</v>
      </c>
      <c r="L18" s="2" t="s">
        <v>21</v>
      </c>
      <c r="M18" s="4">
        <v>0.0</v>
      </c>
      <c r="N18" s="2" t="s">
        <v>40</v>
      </c>
      <c r="P18" s="2" t="s">
        <v>21</v>
      </c>
    </row>
    <row r="19">
      <c r="A19" s="3">
        <v>44809.467450543976</v>
      </c>
      <c r="B19" s="2" t="s">
        <v>75</v>
      </c>
      <c r="C19" s="2" t="s">
        <v>76</v>
      </c>
      <c r="D19" s="2" t="s">
        <v>82</v>
      </c>
      <c r="E19" s="2" t="s">
        <v>83</v>
      </c>
      <c r="F19" s="2" t="s">
        <v>22</v>
      </c>
      <c r="H19" s="2" t="s">
        <v>21</v>
      </c>
      <c r="J19" s="2" t="s">
        <v>22</v>
      </c>
      <c r="K19" s="2" t="s">
        <v>22</v>
      </c>
      <c r="L19" s="2" t="s">
        <v>22</v>
      </c>
      <c r="M19" s="4">
        <v>0.0</v>
      </c>
      <c r="N19" s="2" t="s">
        <v>57</v>
      </c>
      <c r="O19" s="2" t="s">
        <v>84</v>
      </c>
      <c r="P19" s="2" t="s">
        <v>22</v>
      </c>
    </row>
    <row r="20">
      <c r="A20" s="3">
        <v>44760.56758916666</v>
      </c>
      <c r="B20" s="2" t="s">
        <v>85</v>
      </c>
      <c r="C20" s="2" t="s">
        <v>86</v>
      </c>
      <c r="D20" s="2" t="s">
        <v>87</v>
      </c>
      <c r="E20" s="2" t="s">
        <v>88</v>
      </c>
      <c r="F20" s="2" t="s">
        <v>21</v>
      </c>
      <c r="H20" s="2" t="s">
        <v>21</v>
      </c>
      <c r="J20" s="2" t="s">
        <v>21</v>
      </c>
      <c r="K20" s="2" t="s">
        <v>21</v>
      </c>
      <c r="L20" s="2" t="s">
        <v>22</v>
      </c>
      <c r="M20" s="4">
        <v>0.0</v>
      </c>
      <c r="N20" s="2" t="s">
        <v>26</v>
      </c>
      <c r="P20" s="2" t="s">
        <v>21</v>
      </c>
    </row>
    <row r="21">
      <c r="A21" s="3">
        <v>44752.82647418982</v>
      </c>
      <c r="B21" s="2" t="s">
        <v>89</v>
      </c>
      <c r="C21" s="2" t="s">
        <v>90</v>
      </c>
      <c r="D21" s="2" t="s">
        <v>38</v>
      </c>
      <c r="E21" s="2" t="s">
        <v>91</v>
      </c>
      <c r="F21" s="2" t="s">
        <v>22</v>
      </c>
      <c r="H21" s="2" t="s">
        <v>21</v>
      </c>
      <c r="J21" s="2" t="s">
        <v>22</v>
      </c>
      <c r="K21" s="2" t="s">
        <v>22</v>
      </c>
      <c r="L21" s="2" t="s">
        <v>22</v>
      </c>
      <c r="M21" s="4">
        <v>0.0</v>
      </c>
      <c r="N21" s="2" t="s">
        <v>26</v>
      </c>
      <c r="P21" s="2" t="s">
        <v>22</v>
      </c>
    </row>
    <row r="22">
      <c r="A22" s="3">
        <v>44796.43419788194</v>
      </c>
      <c r="B22" s="2" t="s">
        <v>89</v>
      </c>
      <c r="C22" s="2" t="s">
        <v>90</v>
      </c>
      <c r="D22" s="2" t="s">
        <v>38</v>
      </c>
      <c r="E22" s="2" t="s">
        <v>92</v>
      </c>
      <c r="F22" s="2" t="s">
        <v>22</v>
      </c>
      <c r="H22" s="2" t="s">
        <v>21</v>
      </c>
      <c r="J22" s="2" t="s">
        <v>22</v>
      </c>
      <c r="K22" s="2" t="s">
        <v>22</v>
      </c>
      <c r="L22" s="2" t="s">
        <v>22</v>
      </c>
      <c r="M22" s="4">
        <v>0.0</v>
      </c>
      <c r="N22" s="2" t="s">
        <v>26</v>
      </c>
      <c r="P22" s="2" t="s">
        <v>22</v>
      </c>
    </row>
    <row r="23">
      <c r="A23" s="3">
        <v>44737.73141943287</v>
      </c>
      <c r="B23" s="2" t="s">
        <v>93</v>
      </c>
      <c r="C23" s="2" t="s">
        <v>94</v>
      </c>
      <c r="D23" s="2" t="s">
        <v>95</v>
      </c>
      <c r="E23" s="2" t="s">
        <v>96</v>
      </c>
      <c r="F23" s="2" t="s">
        <v>22</v>
      </c>
      <c r="H23" s="2" t="s">
        <v>21</v>
      </c>
      <c r="J23" s="2" t="s">
        <v>21</v>
      </c>
      <c r="K23" s="2" t="s">
        <v>21</v>
      </c>
      <c r="L23" s="2" t="s">
        <v>21</v>
      </c>
      <c r="M23" s="4">
        <v>0.0</v>
      </c>
      <c r="N23" s="2" t="s">
        <v>23</v>
      </c>
      <c r="O23" s="2" t="s">
        <v>97</v>
      </c>
      <c r="P23" s="2" t="s">
        <v>21</v>
      </c>
    </row>
    <row r="24">
      <c r="A24" s="3">
        <v>44744.82631422454</v>
      </c>
      <c r="B24" s="2" t="s">
        <v>98</v>
      </c>
      <c r="C24" s="2" t="s">
        <v>99</v>
      </c>
      <c r="D24" s="2" t="s">
        <v>100</v>
      </c>
      <c r="E24" s="2" t="s">
        <v>101</v>
      </c>
      <c r="F24" s="2" t="s">
        <v>22</v>
      </c>
      <c r="H24" s="2" t="s">
        <v>21</v>
      </c>
      <c r="J24" s="2" t="s">
        <v>22</v>
      </c>
      <c r="K24" s="2" t="s">
        <v>22</v>
      </c>
      <c r="L24" s="2" t="s">
        <v>21</v>
      </c>
      <c r="M24" s="4">
        <v>0.0</v>
      </c>
      <c r="N24" s="2" t="s">
        <v>23</v>
      </c>
      <c r="P24" s="2" t="s">
        <v>22</v>
      </c>
    </row>
    <row r="25">
      <c r="A25" s="3">
        <v>44754.63325530093</v>
      </c>
      <c r="B25" s="2" t="s">
        <v>102</v>
      </c>
      <c r="C25" s="2" t="s">
        <v>99</v>
      </c>
      <c r="D25" s="2" t="s">
        <v>103</v>
      </c>
      <c r="E25" s="2" t="s">
        <v>104</v>
      </c>
      <c r="F25" s="2" t="s">
        <v>22</v>
      </c>
      <c r="H25" s="2" t="s">
        <v>21</v>
      </c>
      <c r="J25" s="2" t="s">
        <v>21</v>
      </c>
      <c r="K25" s="2" t="s">
        <v>22</v>
      </c>
      <c r="L25" s="2" t="s">
        <v>21</v>
      </c>
      <c r="M25" s="4">
        <v>0.0</v>
      </c>
      <c r="N25" s="2" t="s">
        <v>40</v>
      </c>
      <c r="P25" s="2" t="s">
        <v>21</v>
      </c>
    </row>
    <row r="26">
      <c r="A26" s="3">
        <v>44754.81456540509</v>
      </c>
      <c r="B26" s="2" t="s">
        <v>98</v>
      </c>
      <c r="C26" s="2" t="s">
        <v>99</v>
      </c>
      <c r="D26" s="2" t="s">
        <v>38</v>
      </c>
      <c r="E26" s="2" t="s">
        <v>105</v>
      </c>
      <c r="F26" s="2" t="s">
        <v>22</v>
      </c>
      <c r="H26" s="2" t="s">
        <v>22</v>
      </c>
      <c r="J26" s="2" t="s">
        <v>22</v>
      </c>
      <c r="K26" s="2" t="s">
        <v>22</v>
      </c>
      <c r="L26" s="2" t="s">
        <v>21</v>
      </c>
      <c r="M26" s="4">
        <v>0.0</v>
      </c>
      <c r="N26" s="2" t="s">
        <v>23</v>
      </c>
      <c r="P26" s="2" t="s">
        <v>22</v>
      </c>
    </row>
    <row r="27">
      <c r="A27" s="3">
        <v>44735.429950474536</v>
      </c>
      <c r="B27" s="2" t="s">
        <v>106</v>
      </c>
      <c r="C27" s="2" t="s">
        <v>107</v>
      </c>
      <c r="D27" s="2" t="s">
        <v>108</v>
      </c>
      <c r="E27" s="2" t="s">
        <v>109</v>
      </c>
      <c r="F27" s="2" t="s">
        <v>21</v>
      </c>
      <c r="H27" s="2" t="s">
        <v>21</v>
      </c>
      <c r="I27" s="2" t="s">
        <v>22</v>
      </c>
      <c r="J27" s="2" t="s">
        <v>22</v>
      </c>
      <c r="K27" s="2" t="s">
        <v>22</v>
      </c>
      <c r="L27" s="2" t="s">
        <v>21</v>
      </c>
      <c r="M27" s="4">
        <v>0.0</v>
      </c>
      <c r="N27" s="2" t="s">
        <v>40</v>
      </c>
    </row>
    <row r="28">
      <c r="A28" s="3">
        <v>44735.450707592594</v>
      </c>
      <c r="B28" s="2" t="s">
        <v>110</v>
      </c>
      <c r="C28" s="2" t="s">
        <v>107</v>
      </c>
      <c r="D28" s="2" t="s">
        <v>111</v>
      </c>
      <c r="E28" s="2" t="s">
        <v>112</v>
      </c>
      <c r="F28" s="2" t="s">
        <v>21</v>
      </c>
      <c r="H28" s="2" t="s">
        <v>22</v>
      </c>
      <c r="I28" s="2" t="s">
        <v>22</v>
      </c>
      <c r="J28" s="2" t="s">
        <v>21</v>
      </c>
      <c r="K28" s="2" t="s">
        <v>22</v>
      </c>
      <c r="L28" s="2" t="s">
        <v>21</v>
      </c>
      <c r="M28" s="4">
        <v>0.0</v>
      </c>
      <c r="N28" s="2" t="s">
        <v>26</v>
      </c>
    </row>
    <row r="29">
      <c r="A29" s="3">
        <v>44741.56872737268</v>
      </c>
      <c r="B29" s="2" t="s">
        <v>110</v>
      </c>
      <c r="C29" s="2" t="s">
        <v>107</v>
      </c>
      <c r="D29" s="2" t="s">
        <v>111</v>
      </c>
      <c r="E29" s="2" t="s">
        <v>113</v>
      </c>
      <c r="F29" s="2" t="s">
        <v>22</v>
      </c>
      <c r="H29" s="2" t="s">
        <v>22</v>
      </c>
      <c r="J29" s="2" t="s">
        <v>21</v>
      </c>
      <c r="K29" s="2" t="s">
        <v>22</v>
      </c>
      <c r="L29" s="2" t="s">
        <v>22</v>
      </c>
      <c r="M29" s="4">
        <v>0.0</v>
      </c>
      <c r="N29" s="2" t="s">
        <v>26</v>
      </c>
      <c r="P29" s="2" t="s">
        <v>21</v>
      </c>
    </row>
    <row r="30">
      <c r="A30" s="3">
        <v>44749.629021076384</v>
      </c>
      <c r="B30" s="2" t="s">
        <v>114</v>
      </c>
      <c r="C30" s="2" t="s">
        <v>107</v>
      </c>
      <c r="D30" s="2" t="s">
        <v>51</v>
      </c>
      <c r="E30" s="2" t="s">
        <v>115</v>
      </c>
      <c r="F30" s="2" t="s">
        <v>22</v>
      </c>
      <c r="H30" s="2" t="s">
        <v>22</v>
      </c>
      <c r="J30" s="2" t="s">
        <v>22</v>
      </c>
      <c r="K30" s="2" t="s">
        <v>22</v>
      </c>
      <c r="L30" s="2" t="s">
        <v>21</v>
      </c>
      <c r="M30" s="4">
        <v>0.0</v>
      </c>
      <c r="N30" s="2" t="s">
        <v>30</v>
      </c>
      <c r="O30" s="2" t="s">
        <v>116</v>
      </c>
      <c r="P30" s="2" t="s">
        <v>22</v>
      </c>
    </row>
    <row r="31">
      <c r="A31" s="3">
        <v>44738.51188232639</v>
      </c>
      <c r="B31" s="2" t="s">
        <v>117</v>
      </c>
      <c r="C31" s="2" t="s">
        <v>118</v>
      </c>
      <c r="D31" s="2" t="s">
        <v>21</v>
      </c>
      <c r="E31" s="2" t="s">
        <v>119</v>
      </c>
      <c r="F31" s="2" t="s">
        <v>21</v>
      </c>
      <c r="H31" s="2" t="s">
        <v>21</v>
      </c>
      <c r="J31" s="2" t="s">
        <v>22</v>
      </c>
      <c r="K31" s="2" t="s">
        <v>22</v>
      </c>
      <c r="L31" s="2" t="s">
        <v>21</v>
      </c>
      <c r="M31" s="4">
        <v>0.0</v>
      </c>
      <c r="N31" s="2" t="s">
        <v>23</v>
      </c>
      <c r="P31" s="2" t="s">
        <v>21</v>
      </c>
    </row>
    <row r="32">
      <c r="A32" s="3">
        <v>44729.57670457176</v>
      </c>
      <c r="B32" s="2" t="s">
        <v>120</v>
      </c>
      <c r="C32" s="2" t="s">
        <v>121</v>
      </c>
      <c r="D32" s="2" t="s">
        <v>122</v>
      </c>
      <c r="E32" s="2" t="s">
        <v>123</v>
      </c>
      <c r="F32" s="2" t="s">
        <v>22</v>
      </c>
      <c r="G32" s="2" t="s">
        <v>22</v>
      </c>
      <c r="H32" s="2" t="s">
        <v>21</v>
      </c>
      <c r="I32" s="2" t="s">
        <v>22</v>
      </c>
      <c r="J32" s="2" t="s">
        <v>22</v>
      </c>
      <c r="K32" s="2" t="s">
        <v>21</v>
      </c>
      <c r="L32" s="2" t="s">
        <v>22</v>
      </c>
      <c r="M32" s="4">
        <v>0.0</v>
      </c>
      <c r="N32" s="2" t="s">
        <v>30</v>
      </c>
      <c r="O32" s="5"/>
      <c r="P32" s="5"/>
    </row>
    <row r="33">
      <c r="A33" s="3">
        <v>44735.449908622686</v>
      </c>
      <c r="B33" s="2" t="s">
        <v>124</v>
      </c>
      <c r="C33" s="2" t="s">
        <v>121</v>
      </c>
      <c r="D33" s="2" t="s">
        <v>125</v>
      </c>
      <c r="E33" s="2" t="s">
        <v>104</v>
      </c>
      <c r="F33" s="2" t="s">
        <v>22</v>
      </c>
      <c r="G33" s="2" t="s">
        <v>21</v>
      </c>
      <c r="H33" s="2" t="s">
        <v>21</v>
      </c>
      <c r="I33" s="2" t="s">
        <v>22</v>
      </c>
      <c r="J33" s="2" t="s">
        <v>22</v>
      </c>
      <c r="K33" s="2" t="s">
        <v>21</v>
      </c>
      <c r="L33" s="2" t="s">
        <v>21</v>
      </c>
      <c r="M33" s="4">
        <v>0.0</v>
      </c>
      <c r="N33" s="2" t="s">
        <v>30</v>
      </c>
      <c r="O33" s="2" t="s">
        <v>126</v>
      </c>
      <c r="P33" s="2" t="s">
        <v>22</v>
      </c>
    </row>
    <row r="34">
      <c r="A34" s="3">
        <v>44753.58837805556</v>
      </c>
      <c r="B34" s="2" t="s">
        <v>120</v>
      </c>
      <c r="C34" s="2" t="s">
        <v>121</v>
      </c>
      <c r="D34" s="2" t="s">
        <v>127</v>
      </c>
      <c r="E34" s="2" t="s">
        <v>128</v>
      </c>
      <c r="F34" s="2" t="s">
        <v>22</v>
      </c>
      <c r="H34" s="2" t="s">
        <v>22</v>
      </c>
      <c r="J34" s="2" t="s">
        <v>22</v>
      </c>
      <c r="K34" s="2" t="s">
        <v>22</v>
      </c>
      <c r="L34" s="2" t="s">
        <v>22</v>
      </c>
      <c r="M34" s="4">
        <v>0.0</v>
      </c>
      <c r="N34" s="2" t="s">
        <v>30</v>
      </c>
      <c r="O34" s="2" t="s">
        <v>129</v>
      </c>
      <c r="P34" s="2" t="s">
        <v>22</v>
      </c>
    </row>
    <row r="35">
      <c r="A35" s="3">
        <v>44754.54506510417</v>
      </c>
      <c r="B35" s="2" t="s">
        <v>130</v>
      </c>
      <c r="C35" s="2" t="s">
        <v>131</v>
      </c>
      <c r="D35" s="2" t="s">
        <v>38</v>
      </c>
      <c r="E35" s="2" t="s">
        <v>132</v>
      </c>
      <c r="F35" s="2" t="s">
        <v>21</v>
      </c>
      <c r="H35" s="2" t="s">
        <v>21</v>
      </c>
      <c r="J35" s="2" t="s">
        <v>21</v>
      </c>
      <c r="K35" s="2" t="s">
        <v>22</v>
      </c>
      <c r="L35" s="2" t="s">
        <v>22</v>
      </c>
      <c r="M35" s="4">
        <v>0.0</v>
      </c>
      <c r="N35" s="2" t="s">
        <v>30</v>
      </c>
      <c r="O35" s="2" t="s">
        <v>133</v>
      </c>
      <c r="P35" s="2" t="s">
        <v>22</v>
      </c>
    </row>
    <row r="36">
      <c r="A36" s="3">
        <v>44757.63798168981</v>
      </c>
      <c r="B36" s="2" t="s">
        <v>134</v>
      </c>
      <c r="C36" s="2" t="s">
        <v>131</v>
      </c>
      <c r="D36" s="2" t="s">
        <v>38</v>
      </c>
      <c r="E36" s="2" t="s">
        <v>135</v>
      </c>
      <c r="F36" s="2" t="s">
        <v>21</v>
      </c>
      <c r="H36" s="2" t="s">
        <v>22</v>
      </c>
      <c r="J36" s="2" t="s">
        <v>22</v>
      </c>
      <c r="K36" s="2" t="s">
        <v>22</v>
      </c>
      <c r="L36" s="2" t="s">
        <v>21</v>
      </c>
      <c r="M36" s="4">
        <v>0.0</v>
      </c>
      <c r="N36" s="2" t="s">
        <v>26</v>
      </c>
      <c r="O36" s="2" t="s">
        <v>136</v>
      </c>
      <c r="P36" s="2" t="s">
        <v>22</v>
      </c>
    </row>
    <row r="37">
      <c r="A37" s="3">
        <v>44732.91029645833</v>
      </c>
      <c r="B37" s="2" t="s">
        <v>137</v>
      </c>
      <c r="C37" s="2" t="s">
        <v>138</v>
      </c>
      <c r="D37" s="2" t="s">
        <v>139</v>
      </c>
      <c r="E37" s="2" t="s">
        <v>140</v>
      </c>
      <c r="F37" s="2" t="s">
        <v>21</v>
      </c>
      <c r="G37" s="2" t="s">
        <v>21</v>
      </c>
      <c r="H37" s="2" t="s">
        <v>22</v>
      </c>
      <c r="I37" s="2" t="s">
        <v>22</v>
      </c>
      <c r="J37" s="2" t="s">
        <v>22</v>
      </c>
      <c r="K37" s="2" t="s">
        <v>22</v>
      </c>
      <c r="L37" s="2" t="s">
        <v>21</v>
      </c>
      <c r="M37" s="4">
        <v>0.0</v>
      </c>
      <c r="N37" s="2" t="s">
        <v>30</v>
      </c>
      <c r="O37" s="5"/>
      <c r="P37" s="5"/>
    </row>
    <row r="38">
      <c r="A38" s="3">
        <v>44748.56787773148</v>
      </c>
      <c r="B38" s="2" t="s">
        <v>141</v>
      </c>
      <c r="C38" s="2" t="s">
        <v>142</v>
      </c>
      <c r="D38" s="2" t="s">
        <v>143</v>
      </c>
      <c r="E38" s="2" t="s">
        <v>144</v>
      </c>
      <c r="F38" s="2" t="s">
        <v>21</v>
      </c>
      <c r="H38" s="2" t="s">
        <v>21</v>
      </c>
      <c r="J38" s="2" t="s">
        <v>21</v>
      </c>
      <c r="K38" s="2" t="s">
        <v>22</v>
      </c>
      <c r="L38" s="2" t="s">
        <v>22</v>
      </c>
      <c r="M38" s="4">
        <v>0.0</v>
      </c>
      <c r="N38" s="2" t="s">
        <v>23</v>
      </c>
      <c r="P38" s="2" t="s">
        <v>22</v>
      </c>
    </row>
    <row r="39">
      <c r="A39" s="3">
        <v>44741.901858310186</v>
      </c>
      <c r="B39" s="2" t="s">
        <v>145</v>
      </c>
      <c r="C39" s="2" t="s">
        <v>146</v>
      </c>
      <c r="D39" s="2" t="s">
        <v>143</v>
      </c>
      <c r="E39" s="2" t="s">
        <v>147</v>
      </c>
      <c r="F39" s="2" t="s">
        <v>21</v>
      </c>
      <c r="H39" s="2" t="s">
        <v>21</v>
      </c>
      <c r="J39" s="2" t="s">
        <v>22</v>
      </c>
      <c r="K39" s="2" t="s">
        <v>22</v>
      </c>
      <c r="L39" s="2" t="s">
        <v>21</v>
      </c>
      <c r="M39" s="4">
        <v>0.0</v>
      </c>
      <c r="N39" s="2" t="s">
        <v>26</v>
      </c>
      <c r="P39" s="2" t="s">
        <v>22</v>
      </c>
    </row>
    <row r="40">
      <c r="A40" s="3">
        <v>44743.70789480324</v>
      </c>
      <c r="B40" s="2" t="s">
        <v>148</v>
      </c>
      <c r="C40" s="2" t="s">
        <v>149</v>
      </c>
      <c r="D40" s="2" t="s">
        <v>150</v>
      </c>
      <c r="E40" s="2" t="s">
        <v>151</v>
      </c>
      <c r="F40" s="2" t="s">
        <v>21</v>
      </c>
      <c r="H40" s="2" t="s">
        <v>22</v>
      </c>
      <c r="J40" s="2" t="s">
        <v>22</v>
      </c>
      <c r="K40" s="2" t="s">
        <v>21</v>
      </c>
      <c r="L40" s="2" t="s">
        <v>21</v>
      </c>
      <c r="M40" s="4">
        <v>0.0</v>
      </c>
      <c r="N40" s="2" t="s">
        <v>30</v>
      </c>
      <c r="P40" s="2" t="s">
        <v>21</v>
      </c>
    </row>
    <row r="41">
      <c r="A41" s="3">
        <v>44752.96106105324</v>
      </c>
      <c r="B41" s="2" t="s">
        <v>152</v>
      </c>
      <c r="C41" s="2" t="s">
        <v>153</v>
      </c>
      <c r="D41" s="2" t="s">
        <v>154</v>
      </c>
      <c r="E41" s="2" t="s">
        <v>155</v>
      </c>
      <c r="F41" s="2" t="s">
        <v>21</v>
      </c>
      <c r="H41" s="2" t="s">
        <v>21</v>
      </c>
      <c r="J41" s="2" t="s">
        <v>22</v>
      </c>
      <c r="K41" s="2" t="s">
        <v>22</v>
      </c>
      <c r="L41" s="2" t="s">
        <v>22</v>
      </c>
      <c r="M41" s="4">
        <v>0.0</v>
      </c>
      <c r="N41" s="2" t="s">
        <v>40</v>
      </c>
      <c r="P41" s="2" t="s">
        <v>22</v>
      </c>
    </row>
    <row r="42">
      <c r="A42" s="3">
        <v>44757.787366979166</v>
      </c>
      <c r="B42" s="2" t="s">
        <v>156</v>
      </c>
      <c r="C42" s="2" t="s">
        <v>153</v>
      </c>
      <c r="D42" s="2" t="s">
        <v>157</v>
      </c>
      <c r="E42" s="2" t="s">
        <v>158</v>
      </c>
      <c r="F42" s="2" t="s">
        <v>21</v>
      </c>
      <c r="H42" s="2" t="s">
        <v>21</v>
      </c>
      <c r="J42" s="2" t="s">
        <v>21</v>
      </c>
      <c r="K42" s="2" t="s">
        <v>22</v>
      </c>
      <c r="L42" s="2" t="s">
        <v>21</v>
      </c>
      <c r="M42" s="4">
        <v>0.0</v>
      </c>
      <c r="N42" s="2" t="s">
        <v>159</v>
      </c>
      <c r="P42" s="2" t="s">
        <v>22</v>
      </c>
    </row>
    <row r="43">
      <c r="A43" s="3">
        <v>44733.71166943287</v>
      </c>
      <c r="B43" s="2" t="s">
        <v>160</v>
      </c>
      <c r="C43" s="2" t="s">
        <v>161</v>
      </c>
      <c r="D43" s="2" t="s">
        <v>21</v>
      </c>
      <c r="E43" s="2" t="s">
        <v>162</v>
      </c>
      <c r="F43" s="2" t="s">
        <v>22</v>
      </c>
      <c r="G43" s="2" t="s">
        <v>21</v>
      </c>
      <c r="H43" s="2" t="s">
        <v>21</v>
      </c>
      <c r="I43" s="2" t="s">
        <v>22</v>
      </c>
      <c r="J43" s="2" t="s">
        <v>22</v>
      </c>
      <c r="K43" s="2" t="s">
        <v>22</v>
      </c>
      <c r="L43" s="2" t="s">
        <v>21</v>
      </c>
      <c r="M43" s="4">
        <v>0.0</v>
      </c>
      <c r="N43" s="2" t="s">
        <v>63</v>
      </c>
      <c r="O43" s="5"/>
      <c r="P43" s="5"/>
    </row>
    <row r="44">
      <c r="A44" s="3">
        <v>44743.78028019676</v>
      </c>
      <c r="B44" s="2" t="s">
        <v>160</v>
      </c>
      <c r="C44" s="2" t="s">
        <v>161</v>
      </c>
      <c r="D44" s="2" t="s">
        <v>21</v>
      </c>
      <c r="E44" s="2" t="s">
        <v>163</v>
      </c>
      <c r="F44" s="2" t="s">
        <v>22</v>
      </c>
      <c r="H44" s="2" t="s">
        <v>22</v>
      </c>
      <c r="J44" s="2" t="s">
        <v>22</v>
      </c>
      <c r="K44" s="2" t="s">
        <v>22</v>
      </c>
      <c r="L44" s="2" t="s">
        <v>21</v>
      </c>
      <c r="M44" s="4">
        <v>0.0</v>
      </c>
      <c r="N44" s="2" t="s">
        <v>63</v>
      </c>
      <c r="P44" s="2" t="s">
        <v>22</v>
      </c>
    </row>
    <row r="45">
      <c r="A45" s="3">
        <v>44749.67409114583</v>
      </c>
      <c r="B45" s="2" t="s">
        <v>164</v>
      </c>
      <c r="C45" s="2" t="s">
        <v>165</v>
      </c>
      <c r="D45" s="2" t="s">
        <v>38</v>
      </c>
      <c r="E45" s="2" t="s">
        <v>166</v>
      </c>
      <c r="F45" s="2" t="s">
        <v>21</v>
      </c>
      <c r="H45" s="2" t="s">
        <v>22</v>
      </c>
      <c r="J45" s="2" t="s">
        <v>22</v>
      </c>
      <c r="K45" s="2" t="s">
        <v>22</v>
      </c>
      <c r="L45" s="2" t="s">
        <v>22</v>
      </c>
      <c r="M45" s="4">
        <v>0.0</v>
      </c>
      <c r="N45" s="2" t="s">
        <v>26</v>
      </c>
      <c r="O45" s="2" t="s">
        <v>167</v>
      </c>
      <c r="P45" s="2" t="s">
        <v>22</v>
      </c>
    </row>
    <row r="46">
      <c r="A46" s="3">
        <v>44740.83207458333</v>
      </c>
      <c r="B46" s="2" t="s">
        <v>168</v>
      </c>
      <c r="C46" s="2" t="s">
        <v>169</v>
      </c>
      <c r="D46" s="2" t="s">
        <v>170</v>
      </c>
      <c r="E46" s="2" t="s">
        <v>171</v>
      </c>
      <c r="F46" s="2" t="s">
        <v>21</v>
      </c>
      <c r="H46" s="2" t="s">
        <v>22</v>
      </c>
      <c r="J46" s="2" t="s">
        <v>22</v>
      </c>
      <c r="K46" s="2" t="s">
        <v>22</v>
      </c>
      <c r="L46" s="2" t="s">
        <v>22</v>
      </c>
      <c r="M46" s="4">
        <v>0.0</v>
      </c>
      <c r="N46" s="2" t="s">
        <v>63</v>
      </c>
      <c r="O46" s="2" t="s">
        <v>172</v>
      </c>
      <c r="P46" s="2" t="s">
        <v>22</v>
      </c>
    </row>
    <row r="47">
      <c r="A47" s="3">
        <v>44741.82296496528</v>
      </c>
      <c r="B47" s="2" t="s">
        <v>173</v>
      </c>
      <c r="C47" s="2" t="s">
        <v>169</v>
      </c>
      <c r="D47" s="2" t="s">
        <v>174</v>
      </c>
      <c r="E47" s="2" t="s">
        <v>175</v>
      </c>
      <c r="F47" s="2" t="s">
        <v>22</v>
      </c>
      <c r="H47" s="2" t="s">
        <v>22</v>
      </c>
      <c r="J47" s="2" t="s">
        <v>21</v>
      </c>
      <c r="K47" s="2" t="s">
        <v>22</v>
      </c>
      <c r="L47" s="2" t="s">
        <v>21</v>
      </c>
      <c r="M47" s="4">
        <v>0.0</v>
      </c>
      <c r="N47" s="2" t="s">
        <v>63</v>
      </c>
      <c r="O47" s="2" t="s">
        <v>176</v>
      </c>
      <c r="P47" s="2" t="s">
        <v>22</v>
      </c>
    </row>
    <row r="48">
      <c r="A48" s="3">
        <v>44742.39228869213</v>
      </c>
      <c r="B48" s="2" t="s">
        <v>177</v>
      </c>
      <c r="C48" s="2" t="s">
        <v>169</v>
      </c>
      <c r="D48" s="2" t="s">
        <v>178</v>
      </c>
      <c r="E48" s="2" t="s">
        <v>179</v>
      </c>
      <c r="F48" s="2" t="s">
        <v>22</v>
      </c>
      <c r="G48" s="2" t="s">
        <v>180</v>
      </c>
      <c r="H48" s="2" t="s">
        <v>21</v>
      </c>
      <c r="I48" s="2" t="s">
        <v>181</v>
      </c>
      <c r="J48" s="2" t="s">
        <v>22</v>
      </c>
      <c r="K48" s="2" t="s">
        <v>22</v>
      </c>
      <c r="L48" s="2" t="s">
        <v>21</v>
      </c>
      <c r="M48" s="4">
        <v>0.0</v>
      </c>
      <c r="N48" s="2" t="s">
        <v>63</v>
      </c>
      <c r="O48" s="2" t="s">
        <v>182</v>
      </c>
      <c r="P48" s="2" t="s">
        <v>21</v>
      </c>
    </row>
    <row r="49">
      <c r="A49" s="3">
        <v>44752.78644121528</v>
      </c>
      <c r="B49" s="2" t="s">
        <v>183</v>
      </c>
      <c r="C49" s="2" t="s">
        <v>169</v>
      </c>
      <c r="D49" s="2" t="s">
        <v>38</v>
      </c>
      <c r="E49" s="2" t="s">
        <v>184</v>
      </c>
      <c r="F49" s="2" t="s">
        <v>22</v>
      </c>
      <c r="H49" s="2" t="s">
        <v>22</v>
      </c>
      <c r="J49" s="2" t="s">
        <v>22</v>
      </c>
      <c r="K49" s="2" t="s">
        <v>22</v>
      </c>
      <c r="L49" s="2" t="s">
        <v>21</v>
      </c>
      <c r="M49" s="4">
        <v>0.0</v>
      </c>
      <c r="N49" s="2" t="s">
        <v>26</v>
      </c>
      <c r="P49" s="2" t="s">
        <v>22</v>
      </c>
    </row>
    <row r="50">
      <c r="A50" s="3">
        <v>44753.43721883102</v>
      </c>
      <c r="B50" s="2" t="s">
        <v>185</v>
      </c>
      <c r="C50" s="2" t="s">
        <v>169</v>
      </c>
      <c r="D50" s="2" t="s">
        <v>186</v>
      </c>
      <c r="E50" s="2" t="s">
        <v>187</v>
      </c>
      <c r="F50" s="2" t="s">
        <v>22</v>
      </c>
      <c r="H50" s="2" t="s">
        <v>22</v>
      </c>
      <c r="J50" s="2" t="s">
        <v>22</v>
      </c>
      <c r="K50" s="2" t="s">
        <v>22</v>
      </c>
      <c r="L50" s="2" t="s">
        <v>22</v>
      </c>
      <c r="M50" s="4">
        <v>0.0</v>
      </c>
      <c r="N50" s="2" t="s">
        <v>30</v>
      </c>
      <c r="P50" s="2" t="s">
        <v>22</v>
      </c>
    </row>
    <row r="51">
      <c r="A51" s="3">
        <v>44796.4113558449</v>
      </c>
      <c r="B51" s="2" t="s">
        <v>185</v>
      </c>
      <c r="C51" s="2" t="s">
        <v>169</v>
      </c>
      <c r="D51" s="2" t="s">
        <v>186</v>
      </c>
      <c r="E51" s="2" t="s">
        <v>187</v>
      </c>
      <c r="F51" s="2" t="s">
        <v>22</v>
      </c>
      <c r="H51" s="2" t="s">
        <v>22</v>
      </c>
      <c r="J51" s="2" t="s">
        <v>22</v>
      </c>
      <c r="K51" s="2" t="s">
        <v>22</v>
      </c>
      <c r="L51" s="2" t="s">
        <v>22</v>
      </c>
      <c r="M51" s="4">
        <v>0.0</v>
      </c>
      <c r="N51" s="2" t="s">
        <v>30</v>
      </c>
      <c r="P51" s="2" t="s">
        <v>22</v>
      </c>
    </row>
    <row r="52">
      <c r="A52" s="3">
        <v>44806.582589502315</v>
      </c>
      <c r="B52" s="2" t="s">
        <v>168</v>
      </c>
      <c r="C52" s="2" t="s">
        <v>169</v>
      </c>
      <c r="D52" s="2" t="s">
        <v>188</v>
      </c>
      <c r="E52" s="2" t="s">
        <v>189</v>
      </c>
      <c r="F52" s="2" t="s">
        <v>22</v>
      </c>
      <c r="H52" s="2" t="s">
        <v>22</v>
      </c>
      <c r="J52" s="2" t="s">
        <v>22</v>
      </c>
      <c r="K52" s="2" t="s">
        <v>22</v>
      </c>
      <c r="L52" s="2" t="s">
        <v>21</v>
      </c>
      <c r="M52" s="4">
        <v>0.0</v>
      </c>
      <c r="N52" s="2" t="s">
        <v>63</v>
      </c>
      <c r="O52" s="2" t="s">
        <v>190</v>
      </c>
      <c r="P52" s="2" t="s">
        <v>22</v>
      </c>
    </row>
    <row r="53">
      <c r="A53" s="3">
        <v>44736.33771104166</v>
      </c>
      <c r="B53" s="2" t="s">
        <v>191</v>
      </c>
      <c r="C53" s="2" t="s">
        <v>192</v>
      </c>
      <c r="D53" s="2" t="s">
        <v>193</v>
      </c>
      <c r="E53" s="2" t="s">
        <v>194</v>
      </c>
      <c r="F53" s="2" t="s">
        <v>22</v>
      </c>
      <c r="H53" s="2" t="s">
        <v>22</v>
      </c>
      <c r="J53" s="2" t="s">
        <v>22</v>
      </c>
      <c r="K53" s="2" t="s">
        <v>21</v>
      </c>
      <c r="L53" s="2" t="s">
        <v>21</v>
      </c>
      <c r="M53" s="4">
        <v>0.0</v>
      </c>
      <c r="N53" s="2" t="s">
        <v>30</v>
      </c>
      <c r="P53" s="2" t="s">
        <v>22</v>
      </c>
    </row>
    <row r="54">
      <c r="A54" s="3">
        <v>44736.39558943287</v>
      </c>
      <c r="B54" s="2" t="s">
        <v>195</v>
      </c>
      <c r="C54" s="2" t="s">
        <v>196</v>
      </c>
      <c r="D54" s="2" t="s">
        <v>21</v>
      </c>
      <c r="E54" s="2" t="s">
        <v>197</v>
      </c>
      <c r="F54" s="2" t="s">
        <v>21</v>
      </c>
      <c r="H54" s="2" t="s">
        <v>21</v>
      </c>
      <c r="J54" s="2" t="s">
        <v>21</v>
      </c>
      <c r="K54" s="2" t="s">
        <v>21</v>
      </c>
      <c r="L54" s="2" t="s">
        <v>21</v>
      </c>
      <c r="M54" s="4">
        <v>0.0</v>
      </c>
      <c r="N54" s="2" t="s">
        <v>40</v>
      </c>
      <c r="O54" s="2" t="s">
        <v>198</v>
      </c>
      <c r="P54" s="2" t="s">
        <v>22</v>
      </c>
    </row>
    <row r="55">
      <c r="A55" s="3">
        <v>44743.302102546295</v>
      </c>
      <c r="B55" s="2" t="s">
        <v>199</v>
      </c>
      <c r="C55" s="2" t="s">
        <v>196</v>
      </c>
      <c r="D55" s="2" t="s">
        <v>125</v>
      </c>
      <c r="E55" s="2" t="s">
        <v>200</v>
      </c>
      <c r="F55" s="2" t="s">
        <v>21</v>
      </c>
      <c r="H55" s="2" t="s">
        <v>21</v>
      </c>
      <c r="J55" s="2" t="s">
        <v>21</v>
      </c>
      <c r="K55" s="2" t="s">
        <v>21</v>
      </c>
      <c r="L55" s="2" t="s">
        <v>21</v>
      </c>
      <c r="M55" s="4">
        <v>0.0</v>
      </c>
      <c r="N55" s="2" t="s">
        <v>30</v>
      </c>
      <c r="P55" s="2" t="s">
        <v>21</v>
      </c>
    </row>
    <row r="56">
      <c r="A56" s="3">
        <v>44753.592745891205</v>
      </c>
      <c r="B56" s="2" t="s">
        <v>201</v>
      </c>
      <c r="C56" s="2" t="s">
        <v>202</v>
      </c>
      <c r="D56" s="2" t="s">
        <v>51</v>
      </c>
      <c r="E56" s="2" t="s">
        <v>203</v>
      </c>
      <c r="F56" s="2" t="s">
        <v>22</v>
      </c>
      <c r="H56" s="2" t="s">
        <v>21</v>
      </c>
      <c r="J56" s="2" t="s">
        <v>21</v>
      </c>
      <c r="K56" s="2" t="s">
        <v>21</v>
      </c>
      <c r="L56" s="2" t="s">
        <v>21</v>
      </c>
      <c r="M56" s="4">
        <v>0.0</v>
      </c>
      <c r="N56" s="2" t="s">
        <v>30</v>
      </c>
      <c r="P56" s="2" t="s">
        <v>21</v>
      </c>
    </row>
    <row r="57">
      <c r="A57" s="3">
        <v>44727.73167896991</v>
      </c>
      <c r="B57" s="2" t="s">
        <v>204</v>
      </c>
      <c r="C57" s="2" t="s">
        <v>205</v>
      </c>
      <c r="D57" s="2" t="s">
        <v>206</v>
      </c>
      <c r="E57" s="2" t="s">
        <v>207</v>
      </c>
      <c r="F57" s="2" t="s">
        <v>22</v>
      </c>
      <c r="G57" s="2" t="s">
        <v>22</v>
      </c>
      <c r="H57" s="2" t="s">
        <v>22</v>
      </c>
      <c r="I57" s="2" t="s">
        <v>22</v>
      </c>
      <c r="J57" s="2" t="s">
        <v>22</v>
      </c>
      <c r="K57" s="2" t="s">
        <v>22</v>
      </c>
      <c r="L57" s="2" t="s">
        <v>22</v>
      </c>
      <c r="M57" s="4">
        <v>0.0</v>
      </c>
      <c r="N57" s="2" t="s">
        <v>26</v>
      </c>
      <c r="O57" s="5"/>
      <c r="P57" s="5"/>
    </row>
    <row r="58">
      <c r="A58" s="3">
        <v>44735.345563090275</v>
      </c>
      <c r="B58" s="2" t="s">
        <v>204</v>
      </c>
      <c r="C58" s="2" t="s">
        <v>205</v>
      </c>
      <c r="D58" s="2" t="s">
        <v>208</v>
      </c>
      <c r="E58" s="2" t="s">
        <v>209</v>
      </c>
      <c r="F58" s="2" t="s">
        <v>22</v>
      </c>
      <c r="H58" s="2" t="s">
        <v>22</v>
      </c>
      <c r="I58" s="2" t="s">
        <v>22</v>
      </c>
      <c r="J58" s="2" t="s">
        <v>22</v>
      </c>
      <c r="K58" s="2" t="s">
        <v>22</v>
      </c>
      <c r="L58" s="2" t="s">
        <v>22</v>
      </c>
      <c r="M58" s="4">
        <v>0.0</v>
      </c>
      <c r="N58" s="2" t="s">
        <v>26</v>
      </c>
    </row>
    <row r="59">
      <c r="A59" s="3">
        <v>44846.7113628588</v>
      </c>
      <c r="B59" s="2" t="s">
        <v>210</v>
      </c>
      <c r="C59" s="2" t="s">
        <v>211</v>
      </c>
      <c r="D59" s="2" t="s">
        <v>212</v>
      </c>
      <c r="E59" s="2" t="s">
        <v>213</v>
      </c>
      <c r="F59" s="2" t="s">
        <v>22</v>
      </c>
      <c r="H59" s="2" t="s">
        <v>22</v>
      </c>
      <c r="I59" s="2" t="s">
        <v>22</v>
      </c>
      <c r="J59" s="2" t="s">
        <v>22</v>
      </c>
      <c r="K59" s="2" t="s">
        <v>22</v>
      </c>
      <c r="L59" s="2" t="s">
        <v>22</v>
      </c>
      <c r="M59" s="4">
        <v>0.0</v>
      </c>
      <c r="N59" s="2" t="s">
        <v>57</v>
      </c>
      <c r="O59" s="2" t="s">
        <v>214</v>
      </c>
      <c r="P59" s="2" t="s">
        <v>22</v>
      </c>
    </row>
    <row r="60">
      <c r="A60" s="3">
        <v>44735.97145625</v>
      </c>
      <c r="B60" s="2" t="s">
        <v>215</v>
      </c>
      <c r="C60" s="2" t="s">
        <v>205</v>
      </c>
      <c r="D60" s="2" t="s">
        <v>216</v>
      </c>
      <c r="E60" s="2" t="s">
        <v>20</v>
      </c>
      <c r="F60" s="2" t="s">
        <v>21</v>
      </c>
      <c r="H60" s="2" t="s">
        <v>21</v>
      </c>
      <c r="J60" s="2" t="s">
        <v>21</v>
      </c>
      <c r="K60" s="2" t="s">
        <v>21</v>
      </c>
      <c r="L60" s="2" t="s">
        <v>21</v>
      </c>
      <c r="M60" s="4">
        <v>0.0</v>
      </c>
      <c r="N60" s="2" t="s">
        <v>26</v>
      </c>
      <c r="P60" s="2" t="s">
        <v>22</v>
      </c>
    </row>
    <row r="61">
      <c r="A61" s="3">
        <v>44753.49893543981</v>
      </c>
      <c r="B61" s="2" t="s">
        <v>217</v>
      </c>
      <c r="C61" s="2" t="s">
        <v>205</v>
      </c>
      <c r="D61" s="2" t="s">
        <v>218</v>
      </c>
      <c r="E61" s="2" t="s">
        <v>219</v>
      </c>
      <c r="F61" s="2" t="s">
        <v>22</v>
      </c>
      <c r="H61" s="2" t="s">
        <v>21</v>
      </c>
      <c r="J61" s="2" t="s">
        <v>22</v>
      </c>
      <c r="K61" s="2" t="s">
        <v>22</v>
      </c>
      <c r="L61" s="2" t="s">
        <v>21</v>
      </c>
      <c r="M61" s="4">
        <v>0.0</v>
      </c>
      <c r="N61" s="2" t="s">
        <v>57</v>
      </c>
      <c r="O61" s="2" t="s">
        <v>220</v>
      </c>
      <c r="P61" s="2" t="s">
        <v>21</v>
      </c>
    </row>
    <row r="62">
      <c r="A62" s="3">
        <v>44764.63688346065</v>
      </c>
      <c r="B62" s="2" t="s">
        <v>215</v>
      </c>
      <c r="C62" s="2" t="s">
        <v>205</v>
      </c>
      <c r="D62" s="2" t="s">
        <v>221</v>
      </c>
      <c r="E62" s="2" t="s">
        <v>21</v>
      </c>
      <c r="F62" s="2" t="s">
        <v>22</v>
      </c>
      <c r="H62" s="2" t="s">
        <v>22</v>
      </c>
      <c r="J62" s="2" t="s">
        <v>22</v>
      </c>
      <c r="K62" s="2" t="s">
        <v>22</v>
      </c>
      <c r="L62" s="2" t="s">
        <v>22</v>
      </c>
      <c r="M62" s="4">
        <v>0.0</v>
      </c>
      <c r="N62" s="2" t="s">
        <v>57</v>
      </c>
      <c r="P62" s="2" t="s">
        <v>22</v>
      </c>
    </row>
    <row r="63">
      <c r="A63" s="3">
        <v>44796.41465922454</v>
      </c>
      <c r="B63" s="2" t="s">
        <v>222</v>
      </c>
      <c r="C63" s="2" t="s">
        <v>223</v>
      </c>
      <c r="D63" s="2" t="s">
        <v>224</v>
      </c>
      <c r="E63" s="2" t="s">
        <v>225</v>
      </c>
      <c r="F63" s="2" t="s">
        <v>22</v>
      </c>
      <c r="H63" s="2" t="s">
        <v>22</v>
      </c>
      <c r="J63" s="2" t="s">
        <v>22</v>
      </c>
      <c r="K63" s="2" t="s">
        <v>22</v>
      </c>
      <c r="L63" s="2" t="s">
        <v>22</v>
      </c>
      <c r="M63" s="4">
        <v>0.0</v>
      </c>
      <c r="N63" s="2" t="s">
        <v>30</v>
      </c>
      <c r="P63" s="2" t="s">
        <v>22</v>
      </c>
    </row>
    <row r="64">
      <c r="A64" s="3">
        <v>44736.34511996528</v>
      </c>
      <c r="B64" s="2" t="s">
        <v>226</v>
      </c>
      <c r="C64" s="2" t="s">
        <v>227</v>
      </c>
      <c r="D64" s="2" t="s">
        <v>228</v>
      </c>
      <c r="E64" s="2" t="s">
        <v>229</v>
      </c>
      <c r="F64" s="2" t="s">
        <v>22</v>
      </c>
      <c r="H64" s="2" t="s">
        <v>21</v>
      </c>
      <c r="J64" s="2" t="s">
        <v>22</v>
      </c>
      <c r="K64" s="2" t="s">
        <v>22</v>
      </c>
      <c r="L64" s="2" t="s">
        <v>21</v>
      </c>
      <c r="M64" s="4">
        <v>0.0</v>
      </c>
      <c r="N64" s="2" t="s">
        <v>159</v>
      </c>
      <c r="P64" s="2" t="s">
        <v>22</v>
      </c>
    </row>
    <row r="65">
      <c r="A65" s="3">
        <v>44741.545503807865</v>
      </c>
      <c r="B65" s="2" t="s">
        <v>230</v>
      </c>
      <c r="C65" s="2" t="s">
        <v>227</v>
      </c>
      <c r="D65" s="2" t="s">
        <v>150</v>
      </c>
      <c r="E65" s="2" t="s">
        <v>231</v>
      </c>
      <c r="F65" s="2" t="s">
        <v>21</v>
      </c>
      <c r="H65" s="2" t="s">
        <v>22</v>
      </c>
      <c r="J65" s="2" t="s">
        <v>22</v>
      </c>
      <c r="K65" s="2" t="s">
        <v>22</v>
      </c>
      <c r="L65" s="2" t="s">
        <v>22</v>
      </c>
      <c r="M65" s="4">
        <v>0.0</v>
      </c>
      <c r="N65" s="2" t="s">
        <v>40</v>
      </c>
      <c r="P65" s="2" t="s">
        <v>22</v>
      </c>
    </row>
    <row r="66">
      <c r="A66" s="3">
        <v>44749.6190578588</v>
      </c>
      <c r="B66" s="2" t="s">
        <v>226</v>
      </c>
      <c r="C66" s="2" t="s">
        <v>227</v>
      </c>
      <c r="D66" s="2" t="s">
        <v>125</v>
      </c>
      <c r="E66" s="2" t="s">
        <v>232</v>
      </c>
      <c r="F66" s="2" t="s">
        <v>22</v>
      </c>
      <c r="H66" s="2" t="s">
        <v>22</v>
      </c>
      <c r="J66" s="2" t="s">
        <v>22</v>
      </c>
      <c r="K66" s="2" t="s">
        <v>22</v>
      </c>
      <c r="L66" s="2" t="s">
        <v>21</v>
      </c>
      <c r="M66" s="4">
        <v>0.0</v>
      </c>
      <c r="N66" s="2" t="s">
        <v>159</v>
      </c>
      <c r="P66" s="2" t="s">
        <v>22</v>
      </c>
    </row>
    <row r="67">
      <c r="A67" s="3">
        <v>44782.70483541666</v>
      </c>
      <c r="B67" s="2" t="s">
        <v>230</v>
      </c>
      <c r="C67" s="2" t="s">
        <v>227</v>
      </c>
      <c r="D67" s="2" t="s">
        <v>233</v>
      </c>
      <c r="E67" s="2" t="s">
        <v>234</v>
      </c>
      <c r="F67" s="2" t="s">
        <v>22</v>
      </c>
      <c r="H67" s="2" t="s">
        <v>22</v>
      </c>
      <c r="J67" s="2" t="s">
        <v>22</v>
      </c>
      <c r="K67" s="2" t="s">
        <v>22</v>
      </c>
      <c r="L67" s="2" t="s">
        <v>22</v>
      </c>
      <c r="M67" s="4">
        <v>0.0</v>
      </c>
      <c r="N67" s="2" t="s">
        <v>40</v>
      </c>
      <c r="P67" s="2" t="s">
        <v>22</v>
      </c>
    </row>
    <row r="68">
      <c r="A68" s="3">
        <v>44736.4832340625</v>
      </c>
      <c r="B68" s="2" t="s">
        <v>235</v>
      </c>
      <c r="C68" s="2" t="s">
        <v>236</v>
      </c>
      <c r="D68" s="2" t="s">
        <v>150</v>
      </c>
      <c r="E68" s="2" t="s">
        <v>237</v>
      </c>
      <c r="F68" s="2" t="s">
        <v>21</v>
      </c>
      <c r="H68" s="2" t="s">
        <v>21</v>
      </c>
      <c r="J68" s="2" t="s">
        <v>22</v>
      </c>
      <c r="K68" s="2" t="s">
        <v>21</v>
      </c>
      <c r="L68" s="2" t="s">
        <v>21</v>
      </c>
      <c r="M68" s="4">
        <v>0.0</v>
      </c>
      <c r="N68" s="2" t="s">
        <v>30</v>
      </c>
      <c r="P68" s="2" t="s">
        <v>21</v>
      </c>
    </row>
    <row r="69">
      <c r="A69" s="3">
        <v>44736.58682164352</v>
      </c>
      <c r="B69" s="2" t="s">
        <v>238</v>
      </c>
      <c r="C69" s="2" t="s">
        <v>236</v>
      </c>
      <c r="D69" s="2" t="s">
        <v>239</v>
      </c>
      <c r="E69" s="2" t="s">
        <v>240</v>
      </c>
      <c r="F69" s="2" t="s">
        <v>22</v>
      </c>
      <c r="H69" s="2" t="s">
        <v>21</v>
      </c>
      <c r="J69" s="2" t="s">
        <v>21</v>
      </c>
      <c r="K69" s="2" t="s">
        <v>22</v>
      </c>
      <c r="L69" s="2" t="s">
        <v>21</v>
      </c>
      <c r="M69" s="4">
        <v>0.0</v>
      </c>
      <c r="N69" s="2" t="s">
        <v>23</v>
      </c>
      <c r="P69" s="2" t="s">
        <v>22</v>
      </c>
    </row>
    <row r="70">
      <c r="A70" s="3">
        <v>44749.904633784725</v>
      </c>
      <c r="B70" s="2" t="s">
        <v>241</v>
      </c>
      <c r="C70" s="2" t="s">
        <v>236</v>
      </c>
      <c r="D70" s="2" t="s">
        <v>127</v>
      </c>
      <c r="E70" s="2" t="s">
        <v>242</v>
      </c>
      <c r="F70" s="2" t="s">
        <v>22</v>
      </c>
      <c r="H70" s="2" t="s">
        <v>22</v>
      </c>
      <c r="J70" s="2" t="s">
        <v>22</v>
      </c>
      <c r="K70" s="2" t="s">
        <v>21</v>
      </c>
      <c r="L70" s="2" t="s">
        <v>21</v>
      </c>
      <c r="M70" s="4">
        <v>0.0</v>
      </c>
      <c r="N70" s="2" t="s">
        <v>23</v>
      </c>
      <c r="P70" s="2" t="s">
        <v>22</v>
      </c>
    </row>
    <row r="71">
      <c r="A71" s="3">
        <v>44737.321096886575</v>
      </c>
      <c r="B71" s="2" t="s">
        <v>243</v>
      </c>
      <c r="C71" s="2" t="s">
        <v>244</v>
      </c>
      <c r="D71" s="2" t="s">
        <v>245</v>
      </c>
      <c r="E71" s="2" t="s">
        <v>246</v>
      </c>
      <c r="F71" s="2" t="s">
        <v>21</v>
      </c>
      <c r="H71" s="2" t="s">
        <v>21</v>
      </c>
      <c r="J71" s="2" t="s">
        <v>22</v>
      </c>
      <c r="K71" s="2" t="s">
        <v>22</v>
      </c>
      <c r="L71" s="2" t="s">
        <v>22</v>
      </c>
      <c r="M71" s="4">
        <v>0.0</v>
      </c>
      <c r="N71" s="2" t="s">
        <v>63</v>
      </c>
      <c r="P71" s="2" t="s">
        <v>21</v>
      </c>
    </row>
    <row r="72">
      <c r="A72" s="3">
        <v>44827.59986032407</v>
      </c>
      <c r="B72" s="2" t="s">
        <v>75</v>
      </c>
      <c r="C72" s="2" t="s">
        <v>76</v>
      </c>
      <c r="D72" s="2" t="s">
        <v>247</v>
      </c>
      <c r="E72" s="2" t="s">
        <v>248</v>
      </c>
      <c r="F72" s="2" t="s">
        <v>22</v>
      </c>
      <c r="H72" s="2" t="s">
        <v>21</v>
      </c>
      <c r="J72" s="2" t="s">
        <v>22</v>
      </c>
      <c r="K72" s="2" t="s">
        <v>22</v>
      </c>
      <c r="L72" s="2" t="s">
        <v>22</v>
      </c>
      <c r="M72" s="4">
        <v>0.0</v>
      </c>
      <c r="N72" s="2" t="s">
        <v>57</v>
      </c>
      <c r="P72" s="2" t="s">
        <v>22</v>
      </c>
    </row>
    <row r="73">
      <c r="A73" s="7">
        <v>44823.630833333336</v>
      </c>
      <c r="B73" s="2" t="s">
        <v>249</v>
      </c>
      <c r="C73" s="2" t="s">
        <v>99</v>
      </c>
      <c r="D73" s="2" t="s">
        <v>250</v>
      </c>
      <c r="E73" s="2" t="s">
        <v>21</v>
      </c>
      <c r="F73" s="2" t="s">
        <v>22</v>
      </c>
      <c r="G73" s="2" t="s">
        <v>21</v>
      </c>
      <c r="H73" s="2" t="s">
        <v>21</v>
      </c>
      <c r="I73" s="2" t="s">
        <v>21</v>
      </c>
      <c r="J73" s="2" t="s">
        <v>22</v>
      </c>
      <c r="K73" s="2" t="s">
        <v>21</v>
      </c>
      <c r="L73" s="2" t="s">
        <v>21</v>
      </c>
      <c r="N73" s="2" t="s">
        <v>251</v>
      </c>
      <c r="P73" s="2" t="s">
        <v>21</v>
      </c>
    </row>
  </sheetData>
  <customSheetViews>
    <customSheetView guid="{D73875BC-3CE4-4C50-9AB1-853740E1789B}" filter="1" showAutoFilter="1">
      <autoFilter ref="$B$1:$B$172"/>
    </customSheetView>
    <customSheetView guid="{31996289-DDC8-40E7-9760-30494B3E7C4F}" filter="1" showAutoFilter="1">
      <autoFilter ref="$A$1:$P$73"/>
    </customSheetView>
  </customSheetView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s>
  <sheetData>
    <row r="1">
      <c r="B1" s="2" t="s">
        <v>254</v>
      </c>
    </row>
    <row r="2">
      <c r="A2" s="8" t="s">
        <v>18</v>
      </c>
      <c r="B2" s="1" t="str">
        <f>vlookup(A2,'Form responses 1'!$C$2:$C$129,1,false)</f>
        <v>Albania</v>
      </c>
    </row>
    <row r="3">
      <c r="A3" s="8" t="s">
        <v>33</v>
      </c>
      <c r="B3" s="1" t="str">
        <f>vlookup(A3,'Form responses 1'!$C$2:$C$129,1,false)</f>
        <v>Austria</v>
      </c>
    </row>
    <row r="4">
      <c r="A4" s="8" t="s">
        <v>255</v>
      </c>
      <c r="B4" s="1" t="str">
        <f>vlookup(A4,'Form responses 1'!$C$2:$C$129,1,false)</f>
        <v>#N/A</v>
      </c>
    </row>
    <row r="5">
      <c r="A5" s="8" t="s">
        <v>256</v>
      </c>
      <c r="B5" s="1" t="str">
        <f>vlookup(A5,'Form responses 1'!$C$2:$C$129,1,false)</f>
        <v>#N/A</v>
      </c>
    </row>
    <row r="6">
      <c r="A6" s="8" t="s">
        <v>257</v>
      </c>
      <c r="B6" s="1" t="str">
        <f>vlookup(A6,'Form responses 1'!$C$2:$C$129,1,false)</f>
        <v>#N/A</v>
      </c>
    </row>
    <row r="7">
      <c r="A7" s="8" t="s">
        <v>37</v>
      </c>
      <c r="B7" s="1" t="str">
        <f>vlookup(A7,'Form responses 1'!$C$2:$C$129,1,false)</f>
        <v>Croatia</v>
      </c>
    </row>
    <row r="8">
      <c r="A8" s="8" t="s">
        <v>45</v>
      </c>
      <c r="B8" s="1" t="str">
        <f>vlookup(A8,'Form responses 1'!$C$2:$C$129,1,false)</f>
        <v>Cyprus</v>
      </c>
    </row>
    <row r="9">
      <c r="A9" s="8" t="s">
        <v>48</v>
      </c>
      <c r="B9" s="1" t="str">
        <f>vlookup(A9,'Form responses 1'!$C$2:$C$129,1,false)</f>
        <v>Czech Republic</v>
      </c>
    </row>
    <row r="10">
      <c r="A10" s="8" t="s">
        <v>258</v>
      </c>
      <c r="B10" s="1" t="str">
        <f>vlookup(A10,'Form responses 1'!$C$2:$C$129,1,false)</f>
        <v>#N/A</v>
      </c>
    </row>
    <row r="11">
      <c r="A11" s="8" t="s">
        <v>54</v>
      </c>
      <c r="B11" s="1" t="str">
        <f>vlookup(A11,'Form responses 1'!$C$2:$C$129,1,false)</f>
        <v>Estonia</v>
      </c>
    </row>
    <row r="12">
      <c r="A12" s="8" t="s">
        <v>259</v>
      </c>
      <c r="B12" s="1" t="str">
        <f>vlookup(A12,'Form responses 1'!$C$2:$C$129,1,false)</f>
        <v>#N/A</v>
      </c>
    </row>
    <row r="13">
      <c r="A13" s="8" t="s">
        <v>60</v>
      </c>
      <c r="B13" s="1" t="str">
        <f>vlookup(A13,'Form responses 1'!$C$2:$C$129,1,false)</f>
        <v>France</v>
      </c>
    </row>
    <row r="14">
      <c r="A14" s="8" t="s">
        <v>260</v>
      </c>
      <c r="B14" s="1" t="str">
        <f>vlookup(A14,'Form responses 1'!$C$2:$C$129,1,false)</f>
        <v>#N/A</v>
      </c>
    </row>
    <row r="15">
      <c r="A15" s="8" t="s">
        <v>69</v>
      </c>
      <c r="B15" s="1" t="str">
        <f>vlookup(A15,'Form responses 1'!$C$2:$C$129,1,false)</f>
        <v>Germany</v>
      </c>
    </row>
    <row r="16">
      <c r="A16" s="8" t="s">
        <v>76</v>
      </c>
      <c r="B16" s="1" t="str">
        <f>vlookup(A16,'Form responses 1'!$C$2:$C$129,1,false)</f>
        <v>Greece</v>
      </c>
    </row>
    <row r="17">
      <c r="A17" s="8" t="s">
        <v>90</v>
      </c>
      <c r="B17" s="1" t="str">
        <f>vlookup(A17,'Form responses 1'!$C$2:$C$129,1,false)</f>
        <v>Hungary</v>
      </c>
    </row>
    <row r="18">
      <c r="A18" s="8" t="s">
        <v>261</v>
      </c>
      <c r="B18" s="1" t="str">
        <f>vlookup(A18,'Form responses 1'!$C$2:$C$129,1,false)</f>
        <v>#N/A</v>
      </c>
    </row>
    <row r="19">
      <c r="A19" s="8" t="s">
        <v>99</v>
      </c>
      <c r="B19" s="1" t="str">
        <f>vlookup(A19,'Form responses 1'!$C$2:$C$129,1,false)</f>
        <v>Ireland</v>
      </c>
    </row>
    <row r="20">
      <c r="A20" s="8" t="s">
        <v>107</v>
      </c>
      <c r="B20" s="1" t="str">
        <f>vlookup(A20,'Form responses 1'!$C$2:$C$129,1,false)</f>
        <v>Italy</v>
      </c>
    </row>
    <row r="21">
      <c r="A21" s="8" t="s">
        <v>118</v>
      </c>
      <c r="B21" s="1" t="str">
        <f>vlookup(A21,'Form responses 1'!$C$2:$C$129,1,false)</f>
        <v>Latvia</v>
      </c>
    </row>
    <row r="22">
      <c r="A22" s="8" t="s">
        <v>121</v>
      </c>
      <c r="B22" s="1" t="str">
        <f>vlookup(A22,'Form responses 1'!$C$2:$C$129,1,false)</f>
        <v>Lithuania</v>
      </c>
    </row>
    <row r="23">
      <c r="A23" s="8" t="s">
        <v>262</v>
      </c>
      <c r="B23" s="1" t="str">
        <f>vlookup(A23,'Form responses 1'!$C$2:$C$129,1,false)</f>
        <v>#N/A</v>
      </c>
    </row>
    <row r="24">
      <c r="A24" s="8" t="s">
        <v>131</v>
      </c>
      <c r="B24" s="1" t="str">
        <f>vlookup(A24,'Form responses 1'!$C$2:$C$129,1,false)</f>
        <v>Malta</v>
      </c>
    </row>
    <row r="25">
      <c r="A25" s="8" t="s">
        <v>263</v>
      </c>
      <c r="B25" s="1" t="str">
        <f>vlookup(A25,'Form responses 1'!$C$2:$C$129,1,false)</f>
        <v>#N/A</v>
      </c>
    </row>
    <row r="26">
      <c r="A26" s="8" t="s">
        <v>264</v>
      </c>
      <c r="B26" s="1" t="str">
        <f>vlookup(A26,'Form responses 1'!$C$2:$C$129,1,false)</f>
        <v>#N/A</v>
      </c>
    </row>
    <row r="27">
      <c r="A27" s="8" t="s">
        <v>142</v>
      </c>
      <c r="B27" s="1" t="str">
        <f>vlookup(A27,'Form responses 1'!$C$2:$C$129,1,false)</f>
        <v>Netherlands</v>
      </c>
    </row>
    <row r="28">
      <c r="A28" s="8" t="s">
        <v>146</v>
      </c>
      <c r="B28" s="1" t="str">
        <f>vlookup(A28,'Form responses 1'!$C$2:$C$129,1,false)</f>
        <v>North Macedonia</v>
      </c>
    </row>
    <row r="29">
      <c r="A29" s="8" t="s">
        <v>149</v>
      </c>
      <c r="B29" s="1" t="str">
        <f>vlookup(A29,'Form responses 1'!$C$2:$C$129,1,false)</f>
        <v>Norway</v>
      </c>
    </row>
    <row r="30">
      <c r="A30" s="8" t="s">
        <v>153</v>
      </c>
      <c r="B30" s="1" t="str">
        <f>vlookup(A30,'Form responses 1'!$C$2:$C$129,1,false)</f>
        <v>Poland</v>
      </c>
    </row>
    <row r="31">
      <c r="A31" s="8" t="s">
        <v>161</v>
      </c>
      <c r="B31" s="1" t="str">
        <f>vlookup(A31,'Form responses 1'!$C$2:$C$129,1,false)</f>
        <v>Portugal</v>
      </c>
    </row>
    <row r="32">
      <c r="A32" s="8" t="s">
        <v>169</v>
      </c>
      <c r="B32" s="1" t="str">
        <f>vlookup(A32,'Form responses 1'!$C$2:$C$129,1,false)</f>
        <v>Romania</v>
      </c>
    </row>
    <row r="33">
      <c r="A33" s="8" t="s">
        <v>192</v>
      </c>
      <c r="B33" s="1" t="str">
        <f>vlookup(A33,'Form responses 1'!$C$2:$C$129,1,false)</f>
        <v>Serbia</v>
      </c>
    </row>
    <row r="34">
      <c r="A34" s="8" t="s">
        <v>265</v>
      </c>
      <c r="B34" s="1" t="str">
        <f>vlookup(A34,'Form responses 1'!$C$2:$C$129,1,false)</f>
        <v>#N/A</v>
      </c>
    </row>
    <row r="35">
      <c r="A35" s="8" t="s">
        <v>196</v>
      </c>
      <c r="B35" s="1" t="str">
        <f>vlookup(A35,'Form responses 1'!$C$2:$C$129,1,false)</f>
        <v>Slovenia</v>
      </c>
    </row>
    <row r="36">
      <c r="A36" s="8" t="s">
        <v>202</v>
      </c>
      <c r="B36" s="1" t="str">
        <f>vlookup(A36,'Form responses 1'!$C$2:$C$129,1,false)</f>
        <v>Spain</v>
      </c>
    </row>
    <row r="37">
      <c r="A37" s="8" t="s">
        <v>266</v>
      </c>
      <c r="B37" s="1" t="str">
        <f>vlookup(A37,'Form responses 1'!$C$2:$C$129,1,false)</f>
        <v>#N/A</v>
      </c>
    </row>
    <row r="38">
      <c r="A38" s="8" t="s">
        <v>205</v>
      </c>
      <c r="B38" s="1" t="str">
        <f>vlookup(A38,'Form responses 1'!$C$2:$C$129,1,false)</f>
        <v>Switzerland</v>
      </c>
    </row>
    <row r="39">
      <c r="A39" s="8" t="s">
        <v>227</v>
      </c>
      <c r="B39" s="1" t="str">
        <f>vlookup(A39,'Form responses 1'!$C$2:$C$129,1,false)</f>
        <v>Turkey</v>
      </c>
    </row>
    <row r="40">
      <c r="A40" s="8" t="s">
        <v>236</v>
      </c>
      <c r="B40" s="1" t="str">
        <f>vlookup(A40,'Form responses 1'!$C$2:$C$129,1,false)</f>
        <v>United Kingdom</v>
      </c>
    </row>
    <row r="41">
      <c r="A41"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4" max="4" width="31.88"/>
    <col customWidth="1" min="5" max="5" width="20.75"/>
    <col customWidth="1" min="6" max="6" width="20.63"/>
    <col customWidth="1" min="9" max="9" width="35.75"/>
  </cols>
  <sheetData>
    <row r="1">
      <c r="A1" s="9" t="s">
        <v>267</v>
      </c>
      <c r="B1" s="10" t="s">
        <v>268</v>
      </c>
      <c r="C1" s="11"/>
      <c r="D1" s="12" t="s">
        <v>269</v>
      </c>
      <c r="E1" s="10" t="s">
        <v>270</v>
      </c>
      <c r="F1" s="10" t="s">
        <v>271</v>
      </c>
      <c r="G1" s="2" t="s">
        <v>270</v>
      </c>
      <c r="I1" s="2" t="s">
        <v>272</v>
      </c>
    </row>
    <row r="2">
      <c r="A2" s="13" t="s">
        <v>273</v>
      </c>
      <c r="B2" s="13" t="s">
        <v>274</v>
      </c>
      <c r="C2" s="13"/>
      <c r="D2" s="13" t="s">
        <v>275</v>
      </c>
      <c r="E2" s="13" t="s">
        <v>276</v>
      </c>
      <c r="F2" s="13" t="s">
        <v>277</v>
      </c>
      <c r="G2" s="1" t="str">
        <f>IFERROR(__xludf.DUMMYFUNCTION("split(E2,"" "")"),"Albania")</f>
        <v>Albania</v>
      </c>
      <c r="H2" s="1" t="str">
        <f>IFERROR(__xludf.DUMMYFUNCTION("""COMPUTED_VALUE"""),"(AL)")</f>
        <v>(AL)</v>
      </c>
      <c r="I2" s="1" t="str">
        <f>vlookup(G2,'All Countries'!$A$1:$B$40,2,false)</f>
        <v>Albania</v>
      </c>
    </row>
    <row r="3">
      <c r="A3" s="13" t="s">
        <v>278</v>
      </c>
      <c r="B3" s="13" t="s">
        <v>279</v>
      </c>
      <c r="C3" s="13"/>
      <c r="D3" s="13" t="s">
        <v>280</v>
      </c>
      <c r="E3" s="13" t="s">
        <v>276</v>
      </c>
      <c r="F3" s="13" t="s">
        <v>277</v>
      </c>
      <c r="G3" s="1" t="str">
        <f>IFERROR(__xludf.DUMMYFUNCTION("split(E3,"" "")"),"Albania")</f>
        <v>Albania</v>
      </c>
      <c r="H3" s="1" t="str">
        <f>IFERROR(__xludf.DUMMYFUNCTION("""COMPUTED_VALUE"""),"(AL)")</f>
        <v>(AL)</v>
      </c>
      <c r="I3" s="1" t="str">
        <f>vlookup(G3,'All Countries'!$A$1:$B$40,2,false)</f>
        <v>Albania</v>
      </c>
    </row>
    <row r="4">
      <c r="A4" s="13" t="s">
        <v>281</v>
      </c>
      <c r="B4" s="13" t="s">
        <v>282</v>
      </c>
      <c r="C4" s="13"/>
      <c r="D4" s="14" t="s">
        <v>283</v>
      </c>
      <c r="E4" s="13" t="s">
        <v>276</v>
      </c>
      <c r="F4" s="13" t="s">
        <v>277</v>
      </c>
      <c r="G4" s="1" t="str">
        <f>IFERROR(__xludf.DUMMYFUNCTION("split(E4,"" "")"),"Albania")</f>
        <v>Albania</v>
      </c>
      <c r="H4" s="1" t="str">
        <f>IFERROR(__xludf.DUMMYFUNCTION("""COMPUTED_VALUE"""),"(AL)")</f>
        <v>(AL)</v>
      </c>
      <c r="I4" s="1" t="str">
        <f>vlookup(G4,'All Countries'!$A$1:$B$40,2,false)</f>
        <v>Albania</v>
      </c>
    </row>
    <row r="5">
      <c r="A5" s="13" t="s">
        <v>284</v>
      </c>
      <c r="B5" s="13" t="s">
        <v>285</v>
      </c>
      <c r="C5" s="13"/>
      <c r="D5" s="13" t="s">
        <v>286</v>
      </c>
      <c r="E5" s="13" t="s">
        <v>276</v>
      </c>
      <c r="F5" s="13" t="s">
        <v>287</v>
      </c>
      <c r="G5" s="1" t="str">
        <f>IFERROR(__xludf.DUMMYFUNCTION("split(E5,"" "")"),"Albania")</f>
        <v>Albania</v>
      </c>
      <c r="H5" s="1" t="str">
        <f>IFERROR(__xludf.DUMMYFUNCTION("""COMPUTED_VALUE"""),"(AL)")</f>
        <v>(AL)</v>
      </c>
      <c r="I5" s="1" t="str">
        <f>vlookup(G5,'All Countries'!$A$1:$B$40,2,false)</f>
        <v>Albania</v>
      </c>
    </row>
    <row r="6">
      <c r="A6" s="13" t="s">
        <v>288</v>
      </c>
      <c r="B6" s="13" t="s">
        <v>289</v>
      </c>
      <c r="C6" s="13"/>
      <c r="D6" s="13" t="s">
        <v>290</v>
      </c>
      <c r="E6" s="13" t="s">
        <v>276</v>
      </c>
      <c r="F6" s="13" t="s">
        <v>277</v>
      </c>
      <c r="G6" s="1" t="str">
        <f>IFERROR(__xludf.DUMMYFUNCTION("split(E6,"" "")"),"Albania")</f>
        <v>Albania</v>
      </c>
      <c r="H6" s="1" t="str">
        <f>IFERROR(__xludf.DUMMYFUNCTION("""COMPUTED_VALUE"""),"(AL)")</f>
        <v>(AL)</v>
      </c>
      <c r="I6" s="1" t="str">
        <f>vlookup(G6,'All Countries'!$A$1:$B$40,2,false)</f>
        <v>Albania</v>
      </c>
    </row>
    <row r="7">
      <c r="A7" s="13" t="s">
        <v>291</v>
      </c>
      <c r="B7" s="13" t="s">
        <v>292</v>
      </c>
      <c r="C7" s="13"/>
      <c r="D7" s="13" t="s">
        <v>293</v>
      </c>
      <c r="E7" s="13" t="s">
        <v>276</v>
      </c>
      <c r="F7" s="13" t="s">
        <v>277</v>
      </c>
      <c r="G7" s="1" t="str">
        <f>IFERROR(__xludf.DUMMYFUNCTION("split(E7,"" "")"),"Albania")</f>
        <v>Albania</v>
      </c>
      <c r="H7" s="1" t="str">
        <f>IFERROR(__xludf.DUMMYFUNCTION("""COMPUTED_VALUE"""),"(AL)")</f>
        <v>(AL)</v>
      </c>
      <c r="I7" s="1" t="str">
        <f>vlookup(G7,'All Countries'!$A$1:$B$40,2,false)</f>
        <v>Albania</v>
      </c>
    </row>
    <row r="8">
      <c r="A8" s="13" t="s">
        <v>294</v>
      </c>
      <c r="B8" s="13" t="s">
        <v>295</v>
      </c>
      <c r="C8" s="13"/>
      <c r="D8" s="13" t="s">
        <v>296</v>
      </c>
      <c r="E8" s="13" t="s">
        <v>276</v>
      </c>
      <c r="F8" s="13" t="s">
        <v>287</v>
      </c>
      <c r="G8" s="1" t="str">
        <f>IFERROR(__xludf.DUMMYFUNCTION("split(E8,"" "")"),"Albania")</f>
        <v>Albania</v>
      </c>
      <c r="H8" s="1" t="str">
        <f>IFERROR(__xludf.DUMMYFUNCTION("""COMPUTED_VALUE"""),"(AL)")</f>
        <v>(AL)</v>
      </c>
      <c r="I8" s="1" t="str">
        <f>vlookup(G8,'All Countries'!$A$1:$B$40,2,false)</f>
        <v>Albania</v>
      </c>
    </row>
    <row r="9">
      <c r="A9" s="13" t="s">
        <v>297</v>
      </c>
      <c r="B9" s="13" t="s">
        <v>298</v>
      </c>
      <c r="C9" s="13"/>
      <c r="D9" s="13" t="s">
        <v>299</v>
      </c>
      <c r="E9" s="13" t="s">
        <v>276</v>
      </c>
      <c r="F9" s="13" t="s">
        <v>277</v>
      </c>
      <c r="G9" s="1" t="str">
        <f>IFERROR(__xludf.DUMMYFUNCTION("split(E9,"" "")"),"Albania")</f>
        <v>Albania</v>
      </c>
      <c r="H9" s="1" t="str">
        <f>IFERROR(__xludf.DUMMYFUNCTION("""COMPUTED_VALUE"""),"(AL)")</f>
        <v>(AL)</v>
      </c>
      <c r="I9" s="1" t="str">
        <f>vlookup(G9,'All Countries'!$A$1:$B$40,2,false)</f>
        <v>Albania</v>
      </c>
    </row>
    <row r="10">
      <c r="A10" s="13" t="s">
        <v>300</v>
      </c>
      <c r="B10" s="13" t="s">
        <v>301</v>
      </c>
      <c r="C10" s="13"/>
      <c r="D10" s="13" t="s">
        <v>302</v>
      </c>
      <c r="E10" s="13" t="s">
        <v>276</v>
      </c>
      <c r="F10" s="13" t="s">
        <v>277</v>
      </c>
      <c r="G10" s="1" t="str">
        <f>IFERROR(__xludf.DUMMYFUNCTION("split(E10,"" "")"),"Albania")</f>
        <v>Albania</v>
      </c>
      <c r="H10" s="1" t="str">
        <f>IFERROR(__xludf.DUMMYFUNCTION("""COMPUTED_VALUE"""),"(AL)")</f>
        <v>(AL)</v>
      </c>
      <c r="I10" s="1" t="str">
        <f>vlookup(G10,'All Countries'!$A$1:$B$40,2,false)</f>
        <v>Albania</v>
      </c>
    </row>
    <row r="11">
      <c r="A11" s="13" t="s">
        <v>303</v>
      </c>
      <c r="B11" s="13" t="s">
        <v>304</v>
      </c>
      <c r="C11" s="13"/>
      <c r="D11" s="13" t="s">
        <v>17</v>
      </c>
      <c r="E11" s="13" t="s">
        <v>276</v>
      </c>
      <c r="F11" s="13" t="s">
        <v>277</v>
      </c>
      <c r="G11" s="1" t="str">
        <f>IFERROR(__xludf.DUMMYFUNCTION("split(E11,"" "")"),"Albania")</f>
        <v>Albania</v>
      </c>
      <c r="H11" s="1" t="str">
        <f>IFERROR(__xludf.DUMMYFUNCTION("""COMPUTED_VALUE"""),"(AL)")</f>
        <v>(AL)</v>
      </c>
      <c r="I11" s="1" t="str">
        <f>vlookup(G11,'All Countries'!$A$1:$B$40,2,false)</f>
        <v>Albania</v>
      </c>
    </row>
    <row r="12">
      <c r="A12" s="13" t="s">
        <v>305</v>
      </c>
      <c r="B12" s="13" t="s">
        <v>306</v>
      </c>
      <c r="C12" s="13"/>
      <c r="D12" s="13" t="s">
        <v>307</v>
      </c>
      <c r="E12" s="13" t="s">
        <v>276</v>
      </c>
      <c r="F12" s="13" t="s">
        <v>277</v>
      </c>
      <c r="G12" s="1" t="str">
        <f>IFERROR(__xludf.DUMMYFUNCTION("split(E12,"" "")"),"Albania")</f>
        <v>Albania</v>
      </c>
      <c r="H12" s="1" t="str">
        <f>IFERROR(__xludf.DUMMYFUNCTION("""COMPUTED_VALUE"""),"(AL)")</f>
        <v>(AL)</v>
      </c>
      <c r="I12" s="1" t="str">
        <f>vlookup(G12,'All Countries'!$A$1:$B$40,2,false)</f>
        <v>Albania</v>
      </c>
    </row>
    <row r="13">
      <c r="A13" s="13" t="s">
        <v>308</v>
      </c>
      <c r="B13" s="13" t="s">
        <v>309</v>
      </c>
      <c r="C13" s="13"/>
      <c r="D13" s="13" t="s">
        <v>310</v>
      </c>
      <c r="E13" s="13" t="s">
        <v>276</v>
      </c>
      <c r="F13" s="13" t="s">
        <v>277</v>
      </c>
      <c r="G13" s="1" t="str">
        <f>IFERROR(__xludf.DUMMYFUNCTION("split(E13,"" "")"),"Albania")</f>
        <v>Albania</v>
      </c>
      <c r="H13" s="1" t="str">
        <f>IFERROR(__xludf.DUMMYFUNCTION("""COMPUTED_VALUE"""),"(AL)")</f>
        <v>(AL)</v>
      </c>
      <c r="I13" s="1" t="str">
        <f>vlookup(G13,'All Countries'!$A$1:$B$40,2,false)</f>
        <v>Albania</v>
      </c>
    </row>
    <row r="14">
      <c r="A14" s="13" t="s">
        <v>311</v>
      </c>
      <c r="B14" s="13" t="s">
        <v>312</v>
      </c>
      <c r="C14" s="13"/>
      <c r="D14" s="13" t="s">
        <v>27</v>
      </c>
      <c r="E14" s="13" t="s">
        <v>313</v>
      </c>
      <c r="F14" s="13" t="s">
        <v>277</v>
      </c>
      <c r="G14" s="1" t="str">
        <f>IFERROR(__xludf.DUMMYFUNCTION("split(E14,"" "")"),"Algeria")</f>
        <v>Algeria</v>
      </c>
      <c r="H14" s="1" t="str">
        <f>IFERROR(__xludf.DUMMYFUNCTION("""COMPUTED_VALUE"""),"(DZ)")</f>
        <v>(DZ)</v>
      </c>
      <c r="I14" s="1" t="str">
        <f>vlookup(G14,'All Countries'!$A$1:$B$40,2,false)</f>
        <v>#N/A</v>
      </c>
    </row>
    <row r="15">
      <c r="A15" s="13" t="s">
        <v>314</v>
      </c>
      <c r="B15" s="13" t="s">
        <v>315</v>
      </c>
      <c r="C15" s="13"/>
      <c r="D15" s="13" t="s">
        <v>32</v>
      </c>
      <c r="E15" s="13" t="s">
        <v>316</v>
      </c>
      <c r="F15" s="13" t="s">
        <v>287</v>
      </c>
      <c r="G15" s="1" t="str">
        <f>IFERROR(__xludf.DUMMYFUNCTION("split(E15,"" "")"),"Austria")</f>
        <v>Austria</v>
      </c>
      <c r="H15" s="1" t="str">
        <f>IFERROR(__xludf.DUMMYFUNCTION("""COMPUTED_VALUE"""),"(AT)")</f>
        <v>(AT)</v>
      </c>
      <c r="I15" s="1" t="str">
        <f>vlookup(G15,'All Countries'!$A$1:$B$40,2,false)</f>
        <v>Austria</v>
      </c>
    </row>
    <row r="16">
      <c r="A16" s="13" t="s">
        <v>317</v>
      </c>
      <c r="B16" s="13" t="s">
        <v>318</v>
      </c>
      <c r="C16" s="13"/>
      <c r="D16" s="15" t="s">
        <v>319</v>
      </c>
      <c r="E16" s="13" t="s">
        <v>316</v>
      </c>
      <c r="F16" s="13" t="s">
        <v>287</v>
      </c>
      <c r="G16" s="1" t="str">
        <f>IFERROR(__xludf.DUMMYFUNCTION("split(E16,"" "")"),"Austria")</f>
        <v>Austria</v>
      </c>
      <c r="H16" s="1" t="str">
        <f>IFERROR(__xludf.DUMMYFUNCTION("""COMPUTED_VALUE"""),"(AT)")</f>
        <v>(AT)</v>
      </c>
      <c r="I16" s="1" t="str">
        <f>vlookup(G16,'All Countries'!$A$1:$B$40,2,false)</f>
        <v>Austria</v>
      </c>
    </row>
    <row r="17">
      <c r="A17" s="13" t="s">
        <v>317</v>
      </c>
      <c r="B17" s="13" t="s">
        <v>320</v>
      </c>
      <c r="C17" s="13"/>
      <c r="D17" s="13" t="s">
        <v>321</v>
      </c>
      <c r="E17" s="13" t="s">
        <v>322</v>
      </c>
      <c r="F17" s="13" t="s">
        <v>287</v>
      </c>
      <c r="G17" s="1" t="str">
        <f>IFERROR(__xludf.DUMMYFUNCTION("split(E17,"" "")"),"Belgium")</f>
        <v>Belgium</v>
      </c>
      <c r="H17" s="1" t="str">
        <f>IFERROR(__xludf.DUMMYFUNCTION("""COMPUTED_VALUE"""),"(BE)")</f>
        <v>(BE)</v>
      </c>
      <c r="I17" s="1" t="str">
        <f>vlookup(G17,'All Countries'!$A$1:$B$40,2,false)</f>
        <v>#N/A</v>
      </c>
    </row>
    <row r="18">
      <c r="A18" s="13" t="s">
        <v>323</v>
      </c>
      <c r="B18" s="13" t="s">
        <v>324</v>
      </c>
      <c r="C18" s="13"/>
      <c r="D18" s="13" t="s">
        <v>325</v>
      </c>
      <c r="E18" s="13" t="s">
        <v>326</v>
      </c>
      <c r="F18" s="13" t="s">
        <v>287</v>
      </c>
      <c r="G18" s="8" t="s">
        <v>256</v>
      </c>
      <c r="I18" s="1" t="str">
        <f>vlookup(G18,'All Countries'!$A$1:$B$40,2,false)</f>
        <v>#N/A</v>
      </c>
    </row>
    <row r="19">
      <c r="A19" s="13" t="s">
        <v>327</v>
      </c>
      <c r="B19" s="14" t="s">
        <v>328</v>
      </c>
      <c r="C19" s="13"/>
      <c r="D19" s="13" t="s">
        <v>329</v>
      </c>
      <c r="E19" s="13" t="s">
        <v>326</v>
      </c>
      <c r="F19" s="13" t="s">
        <v>287</v>
      </c>
      <c r="G19" s="8" t="s">
        <v>256</v>
      </c>
      <c r="I19" s="1" t="str">
        <f>vlookup(G19,'All Countries'!$A$1:$B$40,2,false)</f>
        <v>#N/A</v>
      </c>
    </row>
    <row r="20">
      <c r="A20" s="13" t="s">
        <v>330</v>
      </c>
      <c r="B20" s="13" t="s">
        <v>331</v>
      </c>
      <c r="C20" s="13"/>
      <c r="D20" s="13" t="s">
        <v>332</v>
      </c>
      <c r="E20" s="13" t="s">
        <v>333</v>
      </c>
      <c r="F20" s="13" t="s">
        <v>277</v>
      </c>
      <c r="G20" s="1" t="str">
        <f>IFERROR(__xludf.DUMMYFUNCTION("split(E20,"" "")"),"Bulgaria")</f>
        <v>Bulgaria</v>
      </c>
      <c r="H20" s="1" t="str">
        <f>IFERROR(__xludf.DUMMYFUNCTION("""COMPUTED_VALUE"""),"(BG)")</f>
        <v>(BG)</v>
      </c>
      <c r="I20" s="1" t="str">
        <f>vlookup(G20,'All Countries'!$A$1:$B$40,2,false)</f>
        <v>#N/A</v>
      </c>
    </row>
    <row r="21">
      <c r="A21" s="13" t="s">
        <v>334</v>
      </c>
      <c r="B21" s="13" t="s">
        <v>335</v>
      </c>
      <c r="C21" s="13"/>
      <c r="D21" s="13" t="s">
        <v>336</v>
      </c>
      <c r="E21" s="13" t="s">
        <v>333</v>
      </c>
      <c r="F21" s="13" t="s">
        <v>287</v>
      </c>
      <c r="G21" s="1" t="str">
        <f>IFERROR(__xludf.DUMMYFUNCTION("split(E21,"" "")"),"Bulgaria")</f>
        <v>Bulgaria</v>
      </c>
      <c r="H21" s="1" t="str">
        <f>IFERROR(__xludf.DUMMYFUNCTION("""COMPUTED_VALUE"""),"(BG)")</f>
        <v>(BG)</v>
      </c>
      <c r="I21" s="1" t="str">
        <f>vlookup(G21,'All Countries'!$A$1:$B$40,2,false)</f>
        <v>#N/A</v>
      </c>
    </row>
    <row r="22">
      <c r="A22" s="13" t="s">
        <v>337</v>
      </c>
      <c r="B22" s="13" t="s">
        <v>338</v>
      </c>
      <c r="C22" s="13"/>
      <c r="D22" s="13" t="s">
        <v>339</v>
      </c>
      <c r="E22" s="13" t="s">
        <v>333</v>
      </c>
      <c r="F22" s="13" t="s">
        <v>287</v>
      </c>
      <c r="G22" s="1" t="str">
        <f>IFERROR(__xludf.DUMMYFUNCTION("split(E22,"" "")"),"Bulgaria")</f>
        <v>Bulgaria</v>
      </c>
      <c r="H22" s="1" t="str">
        <f>IFERROR(__xludf.DUMMYFUNCTION("""COMPUTED_VALUE"""),"(BG)")</f>
        <v>(BG)</v>
      </c>
      <c r="I22" s="2" t="s">
        <v>257</v>
      </c>
    </row>
    <row r="23">
      <c r="A23" s="16" t="s">
        <v>340</v>
      </c>
      <c r="B23" s="16" t="s">
        <v>341</v>
      </c>
      <c r="C23" s="13"/>
      <c r="D23" s="16" t="s">
        <v>342</v>
      </c>
      <c r="E23" s="13" t="s">
        <v>333</v>
      </c>
      <c r="F23" s="13" t="s">
        <v>277</v>
      </c>
      <c r="G23" s="1" t="str">
        <f>IFERROR(__xludf.DUMMYFUNCTION("split(E23,"" "")"),"Bulgaria")</f>
        <v>Bulgaria</v>
      </c>
      <c r="H23" s="1" t="str">
        <f>IFERROR(__xludf.DUMMYFUNCTION("""COMPUTED_VALUE"""),"(BG)")</f>
        <v>(BG)</v>
      </c>
    </row>
    <row r="24">
      <c r="A24" s="13" t="s">
        <v>343</v>
      </c>
      <c r="B24" s="14" t="s">
        <v>344</v>
      </c>
      <c r="C24" s="13"/>
      <c r="D24" s="13" t="s">
        <v>345</v>
      </c>
      <c r="E24" s="13" t="s">
        <v>346</v>
      </c>
      <c r="F24" s="13" t="s">
        <v>277</v>
      </c>
      <c r="G24" s="1" t="str">
        <f>IFERROR(__xludf.DUMMYFUNCTION("split(E24,"" "")"),"Croatia")</f>
        <v>Croatia</v>
      </c>
      <c r="H24" s="1" t="str">
        <f>IFERROR(__xludf.DUMMYFUNCTION("""COMPUTED_VALUE"""),"(HR)")</f>
        <v>(HR)</v>
      </c>
      <c r="I24" s="1" t="str">
        <f>vlookup(G24,'All Countries'!$A$1:$B$40,2,false)</f>
        <v>Croatia</v>
      </c>
    </row>
    <row r="25">
      <c r="A25" s="13" t="s">
        <v>347</v>
      </c>
      <c r="B25" s="14" t="s">
        <v>348</v>
      </c>
      <c r="C25" s="13"/>
      <c r="D25" s="13" t="s">
        <v>349</v>
      </c>
      <c r="E25" s="13" t="s">
        <v>346</v>
      </c>
      <c r="F25" s="13" t="s">
        <v>287</v>
      </c>
      <c r="G25" s="1" t="str">
        <f>IFERROR(__xludf.DUMMYFUNCTION("split(E25,"" "")"),"Croatia")</f>
        <v>Croatia</v>
      </c>
      <c r="H25" s="1" t="str">
        <f>IFERROR(__xludf.DUMMYFUNCTION("""COMPUTED_VALUE"""),"(HR)")</f>
        <v>(HR)</v>
      </c>
      <c r="I25" s="1" t="str">
        <f>vlookup(G25,'All Countries'!$A$1:$B$40,2,false)</f>
        <v>Croatia</v>
      </c>
    </row>
    <row r="26">
      <c r="A26" s="13" t="s">
        <v>350</v>
      </c>
      <c r="B26" s="13" t="s">
        <v>351</v>
      </c>
      <c r="C26" s="13"/>
      <c r="D26" s="13" t="s">
        <v>352</v>
      </c>
      <c r="E26" s="13" t="s">
        <v>346</v>
      </c>
      <c r="F26" s="13" t="s">
        <v>277</v>
      </c>
      <c r="G26" s="1" t="str">
        <f>IFERROR(__xludf.DUMMYFUNCTION("split(E26,"" "")"),"Croatia")</f>
        <v>Croatia</v>
      </c>
      <c r="H26" s="1" t="str">
        <f>IFERROR(__xludf.DUMMYFUNCTION("""COMPUTED_VALUE"""),"(HR)")</f>
        <v>(HR)</v>
      </c>
      <c r="I26" s="1" t="str">
        <f>vlookup(G26,'All Countries'!$A$1:$B$40,2,false)</f>
        <v>Croatia</v>
      </c>
    </row>
    <row r="27">
      <c r="A27" s="13" t="s">
        <v>353</v>
      </c>
      <c r="B27" s="15" t="s">
        <v>354</v>
      </c>
      <c r="C27" s="13"/>
      <c r="D27" s="13" t="s">
        <v>355</v>
      </c>
      <c r="E27" s="13" t="s">
        <v>346</v>
      </c>
      <c r="F27" s="13" t="s">
        <v>287</v>
      </c>
      <c r="G27" s="1" t="str">
        <f>IFERROR(__xludf.DUMMYFUNCTION("split(E27,"" "")"),"Croatia")</f>
        <v>Croatia</v>
      </c>
      <c r="H27" s="1" t="str">
        <f>IFERROR(__xludf.DUMMYFUNCTION("""COMPUTED_VALUE"""),"(HR)")</f>
        <v>(HR)</v>
      </c>
      <c r="I27" s="1" t="str">
        <f>vlookup(G27,'All Countries'!$A$1:$B$40,2,false)</f>
        <v>Croatia</v>
      </c>
    </row>
    <row r="28">
      <c r="A28" s="13" t="s">
        <v>356</v>
      </c>
      <c r="B28" s="13" t="s">
        <v>357</v>
      </c>
      <c r="C28" s="13"/>
      <c r="D28" s="13" t="s">
        <v>358</v>
      </c>
      <c r="E28" s="13" t="s">
        <v>346</v>
      </c>
      <c r="F28" s="13" t="s">
        <v>277</v>
      </c>
      <c r="G28" s="1" t="str">
        <f>IFERROR(__xludf.DUMMYFUNCTION("split(E28,"" "")"),"Croatia")</f>
        <v>Croatia</v>
      </c>
      <c r="H28" s="1" t="str">
        <f>IFERROR(__xludf.DUMMYFUNCTION("""COMPUTED_VALUE"""),"(HR)")</f>
        <v>(HR)</v>
      </c>
      <c r="I28" s="1" t="str">
        <f>vlookup(G28,'All Countries'!$A$1:$B$40,2,false)</f>
        <v>Croatia</v>
      </c>
    </row>
    <row r="29">
      <c r="A29" s="13" t="s">
        <v>359</v>
      </c>
      <c r="B29" s="13" t="s">
        <v>360</v>
      </c>
      <c r="C29" s="13"/>
      <c r="D29" s="13" t="s">
        <v>361</v>
      </c>
      <c r="E29" s="13" t="s">
        <v>346</v>
      </c>
      <c r="F29" s="13" t="s">
        <v>277</v>
      </c>
      <c r="G29" s="1" t="str">
        <f>IFERROR(__xludf.DUMMYFUNCTION("split(E29,"" "")"),"Croatia")</f>
        <v>Croatia</v>
      </c>
      <c r="H29" s="1" t="str">
        <f>IFERROR(__xludf.DUMMYFUNCTION("""COMPUTED_VALUE"""),"(HR)")</f>
        <v>(HR)</v>
      </c>
      <c r="I29" s="1" t="str">
        <f>vlookup(G29,'All Countries'!$A$1:$B$40,2,false)</f>
        <v>Croatia</v>
      </c>
    </row>
    <row r="30">
      <c r="A30" s="13" t="s">
        <v>362</v>
      </c>
      <c r="B30" s="13" t="s">
        <v>363</v>
      </c>
      <c r="C30" s="13"/>
      <c r="D30" s="13" t="s">
        <v>364</v>
      </c>
      <c r="E30" s="13" t="s">
        <v>365</v>
      </c>
      <c r="F30" s="13" t="s">
        <v>287</v>
      </c>
      <c r="G30" s="1" t="str">
        <f>IFERROR(__xludf.DUMMYFUNCTION("split(E30,"" "")"),"Cyprus")</f>
        <v>Cyprus</v>
      </c>
      <c r="H30" s="1" t="str">
        <f>IFERROR(__xludf.DUMMYFUNCTION("""COMPUTED_VALUE"""),"(CY)")</f>
        <v>(CY)</v>
      </c>
      <c r="I30" s="1" t="str">
        <f>vlookup(G30,'All Countries'!$A$1:$B$40,2,false)</f>
        <v>Cyprus</v>
      </c>
    </row>
    <row r="31">
      <c r="A31" s="13" t="s">
        <v>366</v>
      </c>
      <c r="B31" s="13" t="s">
        <v>367</v>
      </c>
      <c r="C31" s="13"/>
      <c r="D31" s="13" t="s">
        <v>368</v>
      </c>
      <c r="E31" s="13" t="s">
        <v>365</v>
      </c>
      <c r="F31" s="13" t="s">
        <v>277</v>
      </c>
      <c r="G31" s="1" t="str">
        <f>IFERROR(__xludf.DUMMYFUNCTION("split(E31,"" "")"),"Cyprus")</f>
        <v>Cyprus</v>
      </c>
      <c r="H31" s="1" t="str">
        <f>IFERROR(__xludf.DUMMYFUNCTION("""COMPUTED_VALUE"""),"(CY)")</f>
        <v>(CY)</v>
      </c>
      <c r="I31" s="1" t="str">
        <f>vlookup(G31,'All Countries'!$A$1:$B$40,2,false)</f>
        <v>Cyprus</v>
      </c>
    </row>
    <row r="32">
      <c r="A32" s="13" t="s">
        <v>369</v>
      </c>
      <c r="B32" s="13" t="s">
        <v>370</v>
      </c>
      <c r="C32" s="13"/>
      <c r="D32" s="13" t="s">
        <v>44</v>
      </c>
      <c r="E32" s="13" t="s">
        <v>365</v>
      </c>
      <c r="F32" s="13" t="s">
        <v>287</v>
      </c>
      <c r="G32" s="1" t="str">
        <f>IFERROR(__xludf.DUMMYFUNCTION("split(E32,"" "")"),"Cyprus")</f>
        <v>Cyprus</v>
      </c>
      <c r="H32" s="1" t="str">
        <f>IFERROR(__xludf.DUMMYFUNCTION("""COMPUTED_VALUE"""),"(CY)")</f>
        <v>(CY)</v>
      </c>
      <c r="I32" s="1" t="str">
        <f>vlookup(G32,'All Countries'!$A$1:$B$40,2,false)</f>
        <v>Cyprus</v>
      </c>
    </row>
    <row r="33">
      <c r="A33" s="13" t="s">
        <v>371</v>
      </c>
      <c r="B33" s="13" t="s">
        <v>372</v>
      </c>
      <c r="C33" s="13"/>
      <c r="D33" s="13" t="s">
        <v>373</v>
      </c>
      <c r="E33" s="13" t="s">
        <v>374</v>
      </c>
      <c r="F33" s="13" t="s">
        <v>287</v>
      </c>
      <c r="G33" s="6" t="s">
        <v>48</v>
      </c>
      <c r="I33" s="1" t="str">
        <f>vlookup(G33,'All Countries'!$A$1:$B$40,2,false)</f>
        <v>Czech Republic</v>
      </c>
    </row>
    <row r="34">
      <c r="A34" s="13" t="s">
        <v>375</v>
      </c>
      <c r="B34" s="15" t="s">
        <v>376</v>
      </c>
      <c r="C34" s="13"/>
      <c r="D34" s="13" t="s">
        <v>377</v>
      </c>
      <c r="E34" s="13" t="s">
        <v>374</v>
      </c>
      <c r="F34" s="13" t="s">
        <v>287</v>
      </c>
      <c r="G34" s="6" t="s">
        <v>48</v>
      </c>
      <c r="I34" s="1" t="str">
        <f>vlookup(G34,'All Countries'!$A$1:$B$40,2,false)</f>
        <v>Czech Republic</v>
      </c>
    </row>
    <row r="35">
      <c r="A35" s="13" t="s">
        <v>378</v>
      </c>
      <c r="B35" s="13" t="s">
        <v>379</v>
      </c>
      <c r="C35" s="13"/>
      <c r="D35" s="13" t="s">
        <v>47</v>
      </c>
      <c r="E35" s="13" t="s">
        <v>374</v>
      </c>
      <c r="F35" s="13" t="s">
        <v>277</v>
      </c>
      <c r="G35" s="6" t="s">
        <v>48</v>
      </c>
      <c r="I35" s="1" t="str">
        <f>vlookup(G35,'All Countries'!$A$1:$B$40,2,false)</f>
        <v>Czech Republic</v>
      </c>
    </row>
    <row r="36">
      <c r="A36" s="13" t="s">
        <v>380</v>
      </c>
      <c r="B36" s="13" t="s">
        <v>381</v>
      </c>
      <c r="C36" s="13"/>
      <c r="D36" s="13" t="s">
        <v>382</v>
      </c>
      <c r="E36" s="13" t="s">
        <v>374</v>
      </c>
      <c r="F36" s="13" t="s">
        <v>277</v>
      </c>
      <c r="G36" s="6" t="s">
        <v>48</v>
      </c>
      <c r="I36" s="1" t="str">
        <f>vlookup(G36,'All Countries'!$A$1:$B$40,2,false)</f>
        <v>Czech Republic</v>
      </c>
    </row>
    <row r="37">
      <c r="A37" s="13" t="s">
        <v>383</v>
      </c>
      <c r="B37" s="13" t="s">
        <v>384</v>
      </c>
      <c r="C37" s="13"/>
      <c r="D37" s="13" t="s">
        <v>385</v>
      </c>
      <c r="E37" s="13" t="s">
        <v>374</v>
      </c>
      <c r="F37" s="13" t="s">
        <v>277</v>
      </c>
      <c r="G37" s="6" t="s">
        <v>48</v>
      </c>
      <c r="I37" s="1" t="str">
        <f>vlookup(G37,'All Countries'!$A$1:$B$40,2,false)</f>
        <v>Czech Republic</v>
      </c>
    </row>
    <row r="38">
      <c r="A38" s="13" t="s">
        <v>386</v>
      </c>
      <c r="B38" s="15" t="s">
        <v>387</v>
      </c>
      <c r="C38" s="13"/>
      <c r="D38" s="13" t="s">
        <v>388</v>
      </c>
      <c r="E38" s="13" t="s">
        <v>389</v>
      </c>
      <c r="F38" s="13" t="s">
        <v>287</v>
      </c>
      <c r="G38" s="1" t="str">
        <f>IFERROR(__xludf.DUMMYFUNCTION("split(E38,"" "")"),"Denmark")</f>
        <v>Denmark</v>
      </c>
      <c r="H38" s="1" t="str">
        <f>IFERROR(__xludf.DUMMYFUNCTION("""COMPUTED_VALUE"""),"(DK)")</f>
        <v>(DK)</v>
      </c>
      <c r="I38" s="1" t="str">
        <f>vlookup(G38,'All Countries'!$A$1:$B$40,2,false)</f>
        <v>#N/A</v>
      </c>
    </row>
    <row r="39">
      <c r="A39" s="13" t="s">
        <v>390</v>
      </c>
      <c r="B39" s="13" t="s">
        <v>391</v>
      </c>
      <c r="C39" s="13"/>
      <c r="D39" s="13" t="s">
        <v>392</v>
      </c>
      <c r="E39" s="13" t="s">
        <v>389</v>
      </c>
      <c r="F39" s="13" t="s">
        <v>287</v>
      </c>
      <c r="G39" s="1" t="str">
        <f>IFERROR(__xludf.DUMMYFUNCTION("split(E39,"" "")"),"Denmark")</f>
        <v>Denmark</v>
      </c>
      <c r="H39" s="1" t="str">
        <f>IFERROR(__xludf.DUMMYFUNCTION("""COMPUTED_VALUE"""),"(DK)")</f>
        <v>(DK)</v>
      </c>
      <c r="I39" s="1" t="str">
        <f>vlookup(G39,'All Countries'!$A$1:$B$40,2,false)</f>
        <v>#N/A</v>
      </c>
    </row>
    <row r="40">
      <c r="A40" s="13" t="s">
        <v>393</v>
      </c>
      <c r="B40" s="13" t="s">
        <v>394</v>
      </c>
      <c r="C40" s="13"/>
      <c r="D40" s="13" t="s">
        <v>395</v>
      </c>
      <c r="E40" s="13" t="s">
        <v>396</v>
      </c>
      <c r="F40" s="13" t="s">
        <v>287</v>
      </c>
      <c r="G40" s="1" t="str">
        <f>IFERROR(__xludf.DUMMYFUNCTION("split(E40,"" "")"),"Estonia")</f>
        <v>Estonia</v>
      </c>
      <c r="H40" s="1" t="str">
        <f>IFERROR(__xludf.DUMMYFUNCTION("""COMPUTED_VALUE"""),"(EE)")</f>
        <v>(EE)</v>
      </c>
      <c r="I40" s="1" t="str">
        <f>vlookup(G40,'All Countries'!$A$1:$B$40,2,false)</f>
        <v>Estonia</v>
      </c>
    </row>
    <row r="41">
      <c r="A41" s="13" t="s">
        <v>397</v>
      </c>
      <c r="B41" s="13" t="s">
        <v>398</v>
      </c>
      <c r="C41" s="13"/>
      <c r="D41" s="13" t="s">
        <v>399</v>
      </c>
      <c r="E41" s="13" t="s">
        <v>396</v>
      </c>
      <c r="F41" s="13" t="s">
        <v>277</v>
      </c>
      <c r="G41" s="1" t="str">
        <f>IFERROR(__xludf.DUMMYFUNCTION("split(E41,"" "")"),"Estonia")</f>
        <v>Estonia</v>
      </c>
      <c r="H41" s="1" t="str">
        <f>IFERROR(__xludf.DUMMYFUNCTION("""COMPUTED_VALUE"""),"(EE)")</f>
        <v>(EE)</v>
      </c>
      <c r="I41" s="1" t="str">
        <f>vlookup(G41,'All Countries'!$A$1:$B$40,2,false)</f>
        <v>Estonia</v>
      </c>
    </row>
    <row r="42">
      <c r="A42" s="13" t="s">
        <v>400</v>
      </c>
      <c r="B42" s="13" t="s">
        <v>401</v>
      </c>
      <c r="C42" s="13"/>
      <c r="D42" s="13" t="s">
        <v>53</v>
      </c>
      <c r="E42" s="13" t="s">
        <v>396</v>
      </c>
      <c r="F42" s="13" t="s">
        <v>277</v>
      </c>
      <c r="G42" s="1" t="str">
        <f>IFERROR(__xludf.DUMMYFUNCTION("split(E42,"" "")"),"Estonia")</f>
        <v>Estonia</v>
      </c>
      <c r="H42" s="1" t="str">
        <f>IFERROR(__xludf.DUMMYFUNCTION("""COMPUTED_VALUE"""),"(EE)")</f>
        <v>(EE)</v>
      </c>
      <c r="I42" s="1" t="str">
        <f>vlookup(G42,'All Countries'!$A$1:$B$40,2,false)</f>
        <v>Estonia</v>
      </c>
    </row>
    <row r="43">
      <c r="A43" s="13" t="s">
        <v>402</v>
      </c>
      <c r="B43" s="13" t="s">
        <v>403</v>
      </c>
      <c r="C43" s="13"/>
      <c r="D43" s="13" t="s">
        <v>404</v>
      </c>
      <c r="E43" s="13" t="s">
        <v>396</v>
      </c>
      <c r="F43" s="13" t="s">
        <v>287</v>
      </c>
      <c r="G43" s="1" t="str">
        <f>IFERROR(__xludf.DUMMYFUNCTION("split(E43,"" "")"),"Estonia")</f>
        <v>Estonia</v>
      </c>
      <c r="H43" s="1" t="str">
        <f>IFERROR(__xludf.DUMMYFUNCTION("""COMPUTED_VALUE"""),"(EE)")</f>
        <v>(EE)</v>
      </c>
      <c r="I43" s="1" t="str">
        <f>vlookup(G43,'All Countries'!$A$1:$B$40,2,false)</f>
        <v>Estonia</v>
      </c>
    </row>
    <row r="44">
      <c r="A44" s="13" t="s">
        <v>405</v>
      </c>
      <c r="B44" s="13" t="s">
        <v>406</v>
      </c>
      <c r="C44" s="13"/>
      <c r="D44" s="13" t="s">
        <v>407</v>
      </c>
      <c r="E44" s="13" t="s">
        <v>408</v>
      </c>
      <c r="F44" s="13" t="s">
        <v>277</v>
      </c>
      <c r="G44" s="1" t="str">
        <f>IFERROR(__xludf.DUMMYFUNCTION("split(E44,"" "")"),"Finland")</f>
        <v>Finland</v>
      </c>
      <c r="H44" s="1" t="str">
        <f>IFERROR(__xludf.DUMMYFUNCTION("""COMPUTED_VALUE"""),"(FI)")</f>
        <v>(FI)</v>
      </c>
      <c r="I44" s="1" t="str">
        <f>vlookup(G44,'All Countries'!$A$1:$B$40,2,false)</f>
        <v>#N/A</v>
      </c>
    </row>
    <row r="45">
      <c r="A45" s="13" t="s">
        <v>409</v>
      </c>
      <c r="B45" s="13" t="s">
        <v>410</v>
      </c>
      <c r="C45" s="13"/>
      <c r="D45" s="13" t="s">
        <v>411</v>
      </c>
      <c r="E45" s="13" t="s">
        <v>412</v>
      </c>
      <c r="F45" s="13" t="s">
        <v>287</v>
      </c>
      <c r="G45" s="1" t="str">
        <f>IFERROR(__xludf.DUMMYFUNCTION("split(E45,"" "")"),"France")</f>
        <v>France</v>
      </c>
      <c r="H45" s="1" t="str">
        <f>IFERROR(__xludf.DUMMYFUNCTION("""COMPUTED_VALUE"""),"(FR)")</f>
        <v>(FR)</v>
      </c>
      <c r="I45" s="1" t="str">
        <f>vlookup(G45,'All Countries'!$A$1:$B$40,2,false)</f>
        <v>France</v>
      </c>
    </row>
    <row r="46">
      <c r="A46" s="13" t="s">
        <v>413</v>
      </c>
      <c r="B46" s="13" t="s">
        <v>414</v>
      </c>
      <c r="C46" s="13"/>
      <c r="D46" s="13" t="s">
        <v>415</v>
      </c>
      <c r="E46" s="13" t="s">
        <v>412</v>
      </c>
      <c r="F46" s="13" t="s">
        <v>287</v>
      </c>
      <c r="G46" s="1" t="str">
        <f>IFERROR(__xludf.DUMMYFUNCTION("split(E46,"" "")"),"France")</f>
        <v>France</v>
      </c>
      <c r="H46" s="1" t="str">
        <f>IFERROR(__xludf.DUMMYFUNCTION("""COMPUTED_VALUE"""),"(FR)")</f>
        <v>(FR)</v>
      </c>
      <c r="I46" s="1" t="str">
        <f>vlookup(G46,'All Countries'!$A$1:$B$40,2,false)</f>
        <v>France</v>
      </c>
    </row>
    <row r="47">
      <c r="A47" s="13" t="s">
        <v>416</v>
      </c>
      <c r="B47" s="13" t="s">
        <v>417</v>
      </c>
      <c r="C47" s="13"/>
      <c r="D47" s="13" t="s">
        <v>59</v>
      </c>
      <c r="E47" s="13" t="s">
        <v>412</v>
      </c>
      <c r="F47" s="13" t="s">
        <v>277</v>
      </c>
      <c r="G47" s="1" t="str">
        <f>IFERROR(__xludf.DUMMYFUNCTION("split(E47,"" "")"),"France")</f>
        <v>France</v>
      </c>
      <c r="H47" s="1" t="str">
        <f>IFERROR(__xludf.DUMMYFUNCTION("""COMPUTED_VALUE"""),"(FR)")</f>
        <v>(FR)</v>
      </c>
      <c r="I47" s="1" t="str">
        <f>vlookup(G47,'All Countries'!$A$1:$B$40,2,false)</f>
        <v>France</v>
      </c>
    </row>
    <row r="48">
      <c r="A48" s="13" t="s">
        <v>418</v>
      </c>
      <c r="B48" s="13" t="s">
        <v>419</v>
      </c>
      <c r="C48" s="13"/>
      <c r="D48" s="13" t="s">
        <v>420</v>
      </c>
      <c r="E48" s="13" t="s">
        <v>412</v>
      </c>
      <c r="F48" s="13" t="s">
        <v>277</v>
      </c>
      <c r="G48" s="1" t="str">
        <f>IFERROR(__xludf.DUMMYFUNCTION("split(E48,"" "")"),"France")</f>
        <v>France</v>
      </c>
      <c r="H48" s="1" t="str">
        <f>IFERROR(__xludf.DUMMYFUNCTION("""COMPUTED_VALUE"""),"(FR)")</f>
        <v>(FR)</v>
      </c>
      <c r="I48" s="1" t="str">
        <f>vlookup(G48,'All Countries'!$A$1:$B$40,2,false)</f>
        <v>France</v>
      </c>
    </row>
    <row r="49">
      <c r="A49" s="13" t="s">
        <v>421</v>
      </c>
      <c r="B49" s="13" t="s">
        <v>422</v>
      </c>
      <c r="C49" s="13"/>
      <c r="D49" s="13" t="s">
        <v>423</v>
      </c>
      <c r="E49" s="13" t="s">
        <v>412</v>
      </c>
      <c r="F49" s="13" t="s">
        <v>277</v>
      </c>
      <c r="G49" s="1" t="str">
        <f>IFERROR(__xludf.DUMMYFUNCTION("split(E49,"" "")"),"France")</f>
        <v>France</v>
      </c>
      <c r="H49" s="1" t="str">
        <f>IFERROR(__xludf.DUMMYFUNCTION("""COMPUTED_VALUE"""),"(FR)")</f>
        <v>(FR)</v>
      </c>
      <c r="I49" s="1" t="str">
        <f>vlookup(G49,'All Countries'!$A$1:$B$40,2,false)</f>
        <v>France</v>
      </c>
    </row>
    <row r="50">
      <c r="A50" s="13" t="s">
        <v>424</v>
      </c>
      <c r="B50" s="13" t="s">
        <v>425</v>
      </c>
      <c r="C50" s="13"/>
      <c r="D50" s="13" t="s">
        <v>426</v>
      </c>
      <c r="E50" s="13" t="s">
        <v>412</v>
      </c>
      <c r="F50" s="13" t="s">
        <v>277</v>
      </c>
      <c r="G50" s="1" t="str">
        <f>IFERROR(__xludf.DUMMYFUNCTION("split(E50,"" "")"),"France")</f>
        <v>France</v>
      </c>
      <c r="H50" s="1" t="str">
        <f>IFERROR(__xludf.DUMMYFUNCTION("""COMPUTED_VALUE"""),"(FR)")</f>
        <v>(FR)</v>
      </c>
      <c r="I50" s="1" t="str">
        <f>vlookup(G50,'All Countries'!$A$1:$B$40,2,false)</f>
        <v>France</v>
      </c>
    </row>
    <row r="51">
      <c r="A51" s="13" t="s">
        <v>427</v>
      </c>
      <c r="B51" s="13" t="s">
        <v>428</v>
      </c>
      <c r="C51" s="13"/>
      <c r="D51" s="13" t="s">
        <v>429</v>
      </c>
      <c r="E51" s="13" t="s">
        <v>412</v>
      </c>
      <c r="F51" s="13" t="s">
        <v>277</v>
      </c>
      <c r="G51" s="1" t="str">
        <f>IFERROR(__xludf.DUMMYFUNCTION("split(E51,"" "")"),"France")</f>
        <v>France</v>
      </c>
      <c r="H51" s="1" t="str">
        <f>IFERROR(__xludf.DUMMYFUNCTION("""COMPUTED_VALUE"""),"(FR)")</f>
        <v>(FR)</v>
      </c>
      <c r="I51" s="1" t="str">
        <f>vlookup(G51,'All Countries'!$A$1:$B$40,2,false)</f>
        <v>France</v>
      </c>
    </row>
    <row r="52">
      <c r="A52" s="13" t="s">
        <v>430</v>
      </c>
      <c r="B52" s="13" t="s">
        <v>431</v>
      </c>
      <c r="C52" s="13"/>
      <c r="D52" s="13" t="s">
        <v>72</v>
      </c>
      <c r="E52" s="13" t="s">
        <v>432</v>
      </c>
      <c r="F52" s="13" t="s">
        <v>287</v>
      </c>
      <c r="G52" s="1" t="str">
        <f>IFERROR(__xludf.DUMMYFUNCTION("split(E52,"" "")"),"Germany")</f>
        <v>Germany</v>
      </c>
      <c r="H52" s="1" t="str">
        <f>IFERROR(__xludf.DUMMYFUNCTION("""COMPUTED_VALUE"""),"(DE)")</f>
        <v>(DE)</v>
      </c>
      <c r="I52" s="1" t="str">
        <f>vlookup(G52,'All Countries'!$A$1:$B$40,2,false)</f>
        <v>Germany</v>
      </c>
    </row>
    <row r="53">
      <c r="A53" s="13" t="s">
        <v>433</v>
      </c>
      <c r="B53" s="13" t="s">
        <v>434</v>
      </c>
      <c r="C53" s="13"/>
      <c r="D53" s="13" t="s">
        <v>68</v>
      </c>
      <c r="E53" s="13" t="s">
        <v>432</v>
      </c>
      <c r="F53" s="13" t="s">
        <v>287</v>
      </c>
      <c r="G53" s="1" t="str">
        <f>IFERROR(__xludf.DUMMYFUNCTION("split(E53,"" "")"),"Germany")</f>
        <v>Germany</v>
      </c>
      <c r="H53" s="1" t="str">
        <f>IFERROR(__xludf.DUMMYFUNCTION("""COMPUTED_VALUE"""),"(DE)")</f>
        <v>(DE)</v>
      </c>
      <c r="I53" s="1" t="str">
        <f>vlookup(G53,'All Countries'!$A$1:$B$40,2,false)</f>
        <v>Germany</v>
      </c>
    </row>
    <row r="54">
      <c r="A54" s="13" t="s">
        <v>435</v>
      </c>
      <c r="B54" s="13" t="s">
        <v>436</v>
      </c>
      <c r="C54" s="13"/>
      <c r="D54" s="13" t="s">
        <v>437</v>
      </c>
      <c r="E54" s="13" t="s">
        <v>432</v>
      </c>
      <c r="F54" s="13" t="s">
        <v>277</v>
      </c>
      <c r="G54" s="1" t="str">
        <f>IFERROR(__xludf.DUMMYFUNCTION("split(E54,"" "")"),"Germany")</f>
        <v>Germany</v>
      </c>
      <c r="H54" s="1" t="str">
        <f>IFERROR(__xludf.DUMMYFUNCTION("""COMPUTED_VALUE"""),"(DE)")</f>
        <v>(DE)</v>
      </c>
      <c r="I54" s="1" t="str">
        <f>vlookup(G54,'All Countries'!$A$1:$B$40,2,false)</f>
        <v>Germany</v>
      </c>
    </row>
    <row r="55">
      <c r="A55" s="13" t="s">
        <v>438</v>
      </c>
      <c r="B55" s="13" t="s">
        <v>439</v>
      </c>
      <c r="C55" s="13"/>
      <c r="D55" s="13" t="s">
        <v>440</v>
      </c>
      <c r="E55" s="13" t="s">
        <v>432</v>
      </c>
      <c r="F55" s="13" t="s">
        <v>277</v>
      </c>
      <c r="G55" s="1" t="str">
        <f>IFERROR(__xludf.DUMMYFUNCTION("split(E55,"" "")"),"Germany")</f>
        <v>Germany</v>
      </c>
      <c r="H55" s="1" t="str">
        <f>IFERROR(__xludf.DUMMYFUNCTION("""COMPUTED_VALUE"""),"(DE)")</f>
        <v>(DE)</v>
      </c>
      <c r="I55" s="1" t="str">
        <f>vlookup(G55,'All Countries'!$A$1:$B$40,2,false)</f>
        <v>Germany</v>
      </c>
    </row>
    <row r="56">
      <c r="A56" s="13" t="s">
        <v>441</v>
      </c>
      <c r="B56" s="13" t="s">
        <v>442</v>
      </c>
      <c r="C56" s="13"/>
      <c r="D56" s="13" t="s">
        <v>443</v>
      </c>
      <c r="E56" s="13" t="s">
        <v>432</v>
      </c>
      <c r="F56" s="13" t="s">
        <v>277</v>
      </c>
      <c r="G56" s="1" t="str">
        <f>IFERROR(__xludf.DUMMYFUNCTION("split(E56,"" "")"),"Germany")</f>
        <v>Germany</v>
      </c>
      <c r="H56" s="1" t="str">
        <f>IFERROR(__xludf.DUMMYFUNCTION("""COMPUTED_VALUE"""),"(DE)")</f>
        <v>(DE)</v>
      </c>
      <c r="I56" s="1" t="str">
        <f>vlookup(G56,'All Countries'!$A$1:$B$40,2,false)</f>
        <v>Germany</v>
      </c>
    </row>
    <row r="57">
      <c r="A57" s="13" t="s">
        <v>444</v>
      </c>
      <c r="B57" s="13" t="s">
        <v>445</v>
      </c>
      <c r="C57" s="13"/>
      <c r="D57" s="13" t="s">
        <v>446</v>
      </c>
      <c r="E57" s="13" t="s">
        <v>432</v>
      </c>
      <c r="F57" s="13" t="s">
        <v>277</v>
      </c>
      <c r="G57" s="1" t="str">
        <f>IFERROR(__xludf.DUMMYFUNCTION("split(E57,"" "")"),"Germany")</f>
        <v>Germany</v>
      </c>
      <c r="H57" s="1" t="str">
        <f>IFERROR(__xludf.DUMMYFUNCTION("""COMPUTED_VALUE"""),"(DE)")</f>
        <v>(DE)</v>
      </c>
      <c r="I57" s="1" t="str">
        <f>vlookup(G57,'All Countries'!$A$1:$B$40,2,false)</f>
        <v>Germany</v>
      </c>
    </row>
    <row r="58">
      <c r="A58" s="13" t="s">
        <v>447</v>
      </c>
      <c r="B58" s="13" t="s">
        <v>448</v>
      </c>
      <c r="C58" s="13"/>
      <c r="D58" s="13" t="s">
        <v>449</v>
      </c>
      <c r="E58" s="13" t="s">
        <v>450</v>
      </c>
      <c r="F58" s="13" t="s">
        <v>277</v>
      </c>
      <c r="G58" s="1" t="str">
        <f>IFERROR(__xludf.DUMMYFUNCTION("split(E58,"" "")"),"Greece")</f>
        <v>Greece</v>
      </c>
      <c r="H58" s="1" t="str">
        <f>IFERROR(__xludf.DUMMYFUNCTION("""COMPUTED_VALUE"""),"(EL)")</f>
        <v>(EL)</v>
      </c>
      <c r="I58" s="1" t="str">
        <f>vlookup(G58,'All Countries'!$A$1:$B$40,2,false)</f>
        <v>Greece</v>
      </c>
    </row>
    <row r="59">
      <c r="A59" s="13" t="s">
        <v>451</v>
      </c>
      <c r="B59" s="13" t="s">
        <v>452</v>
      </c>
      <c r="C59" s="13"/>
      <c r="D59" s="13" t="s">
        <v>75</v>
      </c>
      <c r="E59" s="13" t="s">
        <v>450</v>
      </c>
      <c r="F59" s="13" t="s">
        <v>287</v>
      </c>
      <c r="G59" s="1" t="str">
        <f>IFERROR(__xludf.DUMMYFUNCTION("split(E59,"" "")"),"Greece")</f>
        <v>Greece</v>
      </c>
      <c r="H59" s="1" t="str">
        <f>IFERROR(__xludf.DUMMYFUNCTION("""COMPUTED_VALUE"""),"(EL)")</f>
        <v>(EL)</v>
      </c>
      <c r="I59" s="1" t="str">
        <f>vlookup(G59,'All Countries'!$A$1:$B$40,2,false)</f>
        <v>Greece</v>
      </c>
    </row>
    <row r="60">
      <c r="A60" s="13" t="s">
        <v>453</v>
      </c>
      <c r="B60" s="13" t="s">
        <v>454</v>
      </c>
      <c r="C60" s="13"/>
      <c r="D60" s="13" t="s">
        <v>455</v>
      </c>
      <c r="E60" s="13" t="s">
        <v>450</v>
      </c>
      <c r="F60" s="13" t="s">
        <v>277</v>
      </c>
      <c r="G60" s="1" t="str">
        <f>IFERROR(__xludf.DUMMYFUNCTION("split(E60,"" "")"),"Greece")</f>
        <v>Greece</v>
      </c>
      <c r="H60" s="1" t="str">
        <f>IFERROR(__xludf.DUMMYFUNCTION("""COMPUTED_VALUE"""),"(EL)")</f>
        <v>(EL)</v>
      </c>
      <c r="I60" s="1" t="str">
        <f>vlookup(G60,'All Countries'!$A$1:$B$40,2,false)</f>
        <v>Greece</v>
      </c>
    </row>
    <row r="61">
      <c r="A61" s="13" t="s">
        <v>456</v>
      </c>
      <c r="B61" s="13" t="s">
        <v>457</v>
      </c>
      <c r="C61" s="13"/>
      <c r="D61" s="13" t="s">
        <v>458</v>
      </c>
      <c r="E61" s="13" t="s">
        <v>450</v>
      </c>
      <c r="F61" s="13" t="s">
        <v>277</v>
      </c>
      <c r="G61" s="1" t="str">
        <f>IFERROR(__xludf.DUMMYFUNCTION("split(E61,"" "")"),"Greece")</f>
        <v>Greece</v>
      </c>
      <c r="H61" s="1" t="str">
        <f>IFERROR(__xludf.DUMMYFUNCTION("""COMPUTED_VALUE"""),"(EL)")</f>
        <v>(EL)</v>
      </c>
      <c r="I61" s="1" t="str">
        <f>vlookup(G61,'All Countries'!$A$1:$B$40,2,false)</f>
        <v>Greece</v>
      </c>
    </row>
    <row r="62">
      <c r="A62" s="13" t="s">
        <v>459</v>
      </c>
      <c r="B62" s="13" t="s">
        <v>460</v>
      </c>
      <c r="C62" s="13"/>
      <c r="D62" s="13" t="s">
        <v>79</v>
      </c>
      <c r="E62" s="13" t="s">
        <v>450</v>
      </c>
      <c r="F62" s="13" t="s">
        <v>277</v>
      </c>
      <c r="G62" s="1" t="str">
        <f>IFERROR(__xludf.DUMMYFUNCTION("split(E62,"" "")"),"Greece")</f>
        <v>Greece</v>
      </c>
      <c r="H62" s="1" t="str">
        <f>IFERROR(__xludf.DUMMYFUNCTION("""COMPUTED_VALUE"""),"(EL)")</f>
        <v>(EL)</v>
      </c>
      <c r="I62" s="1" t="str">
        <f>vlookup(G62,'All Countries'!$A$1:$B$40,2,false)</f>
        <v>Greece</v>
      </c>
    </row>
    <row r="63">
      <c r="A63" s="13" t="s">
        <v>461</v>
      </c>
      <c r="B63" s="13" t="s">
        <v>462</v>
      </c>
      <c r="C63" s="13"/>
      <c r="D63" s="13" t="s">
        <v>463</v>
      </c>
      <c r="E63" s="13" t="s">
        <v>450</v>
      </c>
      <c r="F63" s="13" t="s">
        <v>277</v>
      </c>
      <c r="G63" s="1" t="str">
        <f>IFERROR(__xludf.DUMMYFUNCTION("split(E63,"" "")"),"Greece")</f>
        <v>Greece</v>
      </c>
      <c r="H63" s="1" t="str">
        <f>IFERROR(__xludf.DUMMYFUNCTION("""COMPUTED_VALUE"""),"(EL)")</f>
        <v>(EL)</v>
      </c>
      <c r="I63" s="1" t="str">
        <f>vlookup(G63,'All Countries'!$A$1:$B$40,2,false)</f>
        <v>Greece</v>
      </c>
    </row>
    <row r="64">
      <c r="A64" s="13" t="s">
        <v>464</v>
      </c>
      <c r="B64" s="13" t="s">
        <v>465</v>
      </c>
      <c r="C64" s="13"/>
      <c r="D64" s="15" t="s">
        <v>466</v>
      </c>
      <c r="E64" s="13" t="s">
        <v>467</v>
      </c>
      <c r="F64" s="13" t="s">
        <v>287</v>
      </c>
      <c r="G64" s="1" t="str">
        <f>IFERROR(__xludf.DUMMYFUNCTION("split(E64,"" "")"),"Hungary")</f>
        <v>Hungary</v>
      </c>
      <c r="H64" s="1" t="str">
        <f>IFERROR(__xludf.DUMMYFUNCTION("""COMPUTED_VALUE"""),"(HU)")</f>
        <v>(HU)</v>
      </c>
      <c r="I64" s="1" t="str">
        <f>vlookup(G64,'All Countries'!$A$1:$B$40,2,false)</f>
        <v>Hungary</v>
      </c>
    </row>
    <row r="65">
      <c r="A65" s="13" t="s">
        <v>468</v>
      </c>
      <c r="B65" s="13" t="s">
        <v>469</v>
      </c>
      <c r="C65" s="13"/>
      <c r="D65" s="13" t="s">
        <v>470</v>
      </c>
      <c r="E65" s="13" t="s">
        <v>467</v>
      </c>
      <c r="F65" s="13" t="s">
        <v>287</v>
      </c>
      <c r="G65" s="1" t="str">
        <f>IFERROR(__xludf.DUMMYFUNCTION("split(E65,"" "")"),"Hungary")</f>
        <v>Hungary</v>
      </c>
      <c r="H65" s="1" t="str">
        <f>IFERROR(__xludf.DUMMYFUNCTION("""COMPUTED_VALUE"""),"(HU)")</f>
        <v>(HU)</v>
      </c>
      <c r="I65" s="1" t="str">
        <f>vlookup(G65,'All Countries'!$A$1:$B$40,2,false)</f>
        <v>Hungary</v>
      </c>
    </row>
    <row r="66">
      <c r="A66" s="13" t="s">
        <v>471</v>
      </c>
      <c r="B66" s="13" t="s">
        <v>472</v>
      </c>
      <c r="C66" s="13"/>
      <c r="D66" s="13" t="s">
        <v>89</v>
      </c>
      <c r="E66" s="13" t="s">
        <v>467</v>
      </c>
      <c r="F66" s="16" t="s">
        <v>473</v>
      </c>
      <c r="G66" s="1" t="str">
        <f>IFERROR(__xludf.DUMMYFUNCTION("split(E66,"" "")"),"Hungary")</f>
        <v>Hungary</v>
      </c>
      <c r="H66" s="1" t="str">
        <f>IFERROR(__xludf.DUMMYFUNCTION("""COMPUTED_VALUE"""),"(HU)")</f>
        <v>(HU)</v>
      </c>
      <c r="I66" s="1" t="str">
        <f>vlookup(G66,'All Countries'!$A$1:$B$40,2,false)</f>
        <v>Hungary</v>
      </c>
    </row>
    <row r="67">
      <c r="A67" s="13" t="s">
        <v>474</v>
      </c>
      <c r="B67" s="13" t="s">
        <v>475</v>
      </c>
      <c r="C67" s="13"/>
      <c r="D67" s="13" t="s">
        <v>476</v>
      </c>
      <c r="E67" s="13" t="s">
        <v>467</v>
      </c>
      <c r="F67" s="13" t="s">
        <v>277</v>
      </c>
      <c r="G67" s="1" t="str">
        <f>IFERROR(__xludf.DUMMYFUNCTION("split(E67,"" "")"),"Hungary")</f>
        <v>Hungary</v>
      </c>
      <c r="H67" s="1" t="str">
        <f>IFERROR(__xludf.DUMMYFUNCTION("""COMPUTED_VALUE"""),"(HU)")</f>
        <v>(HU)</v>
      </c>
      <c r="I67" s="1" t="str">
        <f>vlookup(G67,'All Countries'!$A$1:$B$40,2,false)</f>
        <v>Hungary</v>
      </c>
    </row>
    <row r="68">
      <c r="A68" s="16" t="s">
        <v>477</v>
      </c>
      <c r="B68" s="16" t="s">
        <v>478</v>
      </c>
      <c r="C68" s="13"/>
      <c r="D68" s="16" t="s">
        <v>479</v>
      </c>
      <c r="E68" s="13" t="s">
        <v>467</v>
      </c>
      <c r="F68" s="13" t="s">
        <v>277</v>
      </c>
      <c r="G68" s="1" t="str">
        <f>IFERROR(__xludf.DUMMYFUNCTION("split(E68,"" "")"),"Hungary")</f>
        <v>Hungary</v>
      </c>
      <c r="H68" s="1" t="str">
        <f>IFERROR(__xludf.DUMMYFUNCTION("""COMPUTED_VALUE"""),"(HU)")</f>
        <v>(HU)</v>
      </c>
    </row>
    <row r="69">
      <c r="A69" s="13" t="s">
        <v>480</v>
      </c>
      <c r="B69" s="13" t="s">
        <v>481</v>
      </c>
      <c r="C69" s="13"/>
      <c r="D69" s="13" t="s">
        <v>482</v>
      </c>
      <c r="E69" s="13" t="s">
        <v>483</v>
      </c>
      <c r="F69" s="13" t="s">
        <v>277</v>
      </c>
      <c r="G69" s="1" t="str">
        <f>IFERROR(__xludf.DUMMYFUNCTION("split(E69,"" "")"),"Iceland")</f>
        <v>Iceland</v>
      </c>
      <c r="H69" s="1" t="str">
        <f>IFERROR(__xludf.DUMMYFUNCTION("""COMPUTED_VALUE"""),"(IS)")</f>
        <v>(IS)</v>
      </c>
      <c r="I69" s="1" t="str">
        <f>vlookup(G69,'All Countries'!$A$1:$B$40,2,false)</f>
        <v>#N/A</v>
      </c>
    </row>
    <row r="70">
      <c r="A70" s="13" t="s">
        <v>484</v>
      </c>
      <c r="B70" s="13" t="s">
        <v>485</v>
      </c>
      <c r="C70" s="13"/>
      <c r="D70" s="13" t="s">
        <v>486</v>
      </c>
      <c r="E70" s="13" t="s">
        <v>483</v>
      </c>
      <c r="F70" s="13" t="s">
        <v>287</v>
      </c>
      <c r="G70" s="1" t="str">
        <f>IFERROR(__xludf.DUMMYFUNCTION("split(E70,"" "")"),"Iceland")</f>
        <v>Iceland</v>
      </c>
      <c r="H70" s="1" t="str">
        <f>IFERROR(__xludf.DUMMYFUNCTION("""COMPUTED_VALUE"""),"(IS)")</f>
        <v>(IS)</v>
      </c>
      <c r="I70" s="1" t="str">
        <f>vlookup(G70,'All Countries'!$A$1:$B$40,2,false)</f>
        <v>#N/A</v>
      </c>
    </row>
    <row r="71">
      <c r="A71" s="13" t="s">
        <v>487</v>
      </c>
      <c r="B71" s="13" t="s">
        <v>488</v>
      </c>
      <c r="C71" s="13"/>
      <c r="D71" s="13" t="s">
        <v>489</v>
      </c>
      <c r="E71" s="13" t="s">
        <v>483</v>
      </c>
      <c r="F71" s="13" t="s">
        <v>287</v>
      </c>
      <c r="G71" s="1" t="str">
        <f>IFERROR(__xludf.DUMMYFUNCTION("split(E71,"" "")"),"Iceland")</f>
        <v>Iceland</v>
      </c>
      <c r="H71" s="1" t="str">
        <f>IFERROR(__xludf.DUMMYFUNCTION("""COMPUTED_VALUE"""),"(IS)")</f>
        <v>(IS)</v>
      </c>
      <c r="I71" s="1" t="str">
        <f>vlookup(G71,'All Countries'!$A$1:$B$40,2,false)</f>
        <v>#N/A</v>
      </c>
    </row>
    <row r="72">
      <c r="A72" s="13" t="s">
        <v>490</v>
      </c>
      <c r="B72" s="13" t="s">
        <v>491</v>
      </c>
      <c r="C72" s="13"/>
      <c r="D72" s="13" t="s">
        <v>93</v>
      </c>
      <c r="E72" s="13" t="s">
        <v>492</v>
      </c>
      <c r="F72" s="13" t="s">
        <v>277</v>
      </c>
      <c r="G72" s="1" t="str">
        <f>IFERROR(__xludf.DUMMYFUNCTION("split(E72,"" "")"),"India")</f>
        <v>India</v>
      </c>
      <c r="H72" s="1" t="str">
        <f>IFERROR(__xludf.DUMMYFUNCTION("""COMPUTED_VALUE"""),"(IN)")</f>
        <v>(IN)</v>
      </c>
      <c r="I72" s="1" t="str">
        <f>vlookup(G72,'All Countries'!$A$1:$B$40,2,false)</f>
        <v>#N/A</v>
      </c>
    </row>
    <row r="73">
      <c r="A73" s="13" t="s">
        <v>493</v>
      </c>
      <c r="B73" s="14" t="s">
        <v>494</v>
      </c>
      <c r="C73" s="13"/>
      <c r="D73" s="13" t="s">
        <v>98</v>
      </c>
      <c r="E73" s="13" t="s">
        <v>495</v>
      </c>
      <c r="F73" s="13" t="s">
        <v>287</v>
      </c>
      <c r="G73" s="1" t="str">
        <f>IFERROR(__xludf.DUMMYFUNCTION("split(E73,"" "")"),"Ireland")</f>
        <v>Ireland</v>
      </c>
      <c r="H73" s="1" t="str">
        <f>IFERROR(__xludf.DUMMYFUNCTION("""COMPUTED_VALUE"""),"(IE)")</f>
        <v>(IE)</v>
      </c>
      <c r="I73" s="1" t="str">
        <f>vlookup(G73,'All Countries'!$A$1:$B$40,2,false)</f>
        <v>Ireland</v>
      </c>
    </row>
    <row r="74">
      <c r="A74" s="13" t="s">
        <v>496</v>
      </c>
      <c r="B74" s="13" t="s">
        <v>497</v>
      </c>
      <c r="C74" s="13"/>
      <c r="D74" s="13" t="s">
        <v>498</v>
      </c>
      <c r="E74" s="13" t="s">
        <v>495</v>
      </c>
      <c r="F74" s="13" t="s">
        <v>277</v>
      </c>
      <c r="G74" s="1" t="str">
        <f>IFERROR(__xludf.DUMMYFUNCTION("split(E74,"" "")"),"Ireland")</f>
        <v>Ireland</v>
      </c>
      <c r="H74" s="1" t="str">
        <f>IFERROR(__xludf.DUMMYFUNCTION("""COMPUTED_VALUE"""),"(IE)")</f>
        <v>(IE)</v>
      </c>
      <c r="I74" s="1" t="str">
        <f>vlookup(G74,'All Countries'!$A$1:$B$40,2,false)</f>
        <v>Ireland</v>
      </c>
    </row>
    <row r="75">
      <c r="A75" s="13" t="s">
        <v>499</v>
      </c>
      <c r="B75" s="13" t="s">
        <v>500</v>
      </c>
      <c r="C75" s="13"/>
      <c r="D75" s="13" t="s">
        <v>501</v>
      </c>
      <c r="E75" s="13" t="s">
        <v>495</v>
      </c>
      <c r="F75" s="13" t="s">
        <v>287</v>
      </c>
      <c r="G75" s="1" t="str">
        <f>IFERROR(__xludf.DUMMYFUNCTION("split(E75,"" "")"),"Ireland")</f>
        <v>Ireland</v>
      </c>
      <c r="H75" s="1" t="str">
        <f>IFERROR(__xludf.DUMMYFUNCTION("""COMPUTED_VALUE"""),"(IE)")</f>
        <v>(IE)</v>
      </c>
      <c r="I75" s="1" t="str">
        <f>vlookup(G75,'All Countries'!$A$1:$B$40,2,false)</f>
        <v>Ireland</v>
      </c>
    </row>
    <row r="76">
      <c r="A76" s="13" t="s">
        <v>502</v>
      </c>
      <c r="B76" s="13" t="s">
        <v>503</v>
      </c>
      <c r="C76" s="13"/>
      <c r="D76" s="13" t="s">
        <v>102</v>
      </c>
      <c r="E76" s="13" t="s">
        <v>495</v>
      </c>
      <c r="F76" s="13" t="s">
        <v>277</v>
      </c>
      <c r="G76" s="1" t="str">
        <f>IFERROR(__xludf.DUMMYFUNCTION("split(E76,"" "")"),"Ireland")</f>
        <v>Ireland</v>
      </c>
      <c r="H76" s="1" t="str">
        <f>IFERROR(__xludf.DUMMYFUNCTION("""COMPUTED_VALUE"""),"(IE)")</f>
        <v>(IE)</v>
      </c>
      <c r="I76" s="1" t="str">
        <f>vlookup(G76,'All Countries'!$A$1:$B$40,2,false)</f>
        <v>Ireland</v>
      </c>
    </row>
    <row r="77">
      <c r="A77" s="13" t="s">
        <v>504</v>
      </c>
      <c r="B77" s="13" t="s">
        <v>505</v>
      </c>
      <c r="C77" s="13"/>
      <c r="D77" s="13" t="s">
        <v>506</v>
      </c>
      <c r="E77" s="13" t="s">
        <v>495</v>
      </c>
      <c r="F77" s="13" t="s">
        <v>277</v>
      </c>
      <c r="G77" s="1" t="str">
        <f>IFERROR(__xludf.DUMMYFUNCTION("split(E77,"" "")"),"Ireland")</f>
        <v>Ireland</v>
      </c>
      <c r="H77" s="1" t="str">
        <f>IFERROR(__xludf.DUMMYFUNCTION("""COMPUTED_VALUE"""),"(IE)")</f>
        <v>(IE)</v>
      </c>
      <c r="I77" s="1" t="str">
        <f>vlookup(G77,'All Countries'!$A$1:$B$40,2,false)</f>
        <v>Ireland</v>
      </c>
    </row>
    <row r="78">
      <c r="A78" s="13" t="s">
        <v>507</v>
      </c>
      <c r="B78" s="13" t="s">
        <v>508</v>
      </c>
      <c r="C78" s="13"/>
      <c r="D78" s="13" t="s">
        <v>249</v>
      </c>
      <c r="E78" s="13" t="s">
        <v>495</v>
      </c>
      <c r="F78" s="13" t="s">
        <v>277</v>
      </c>
      <c r="G78" s="1" t="str">
        <f>IFERROR(__xludf.DUMMYFUNCTION("split(E78,"" "")"),"Ireland")</f>
        <v>Ireland</v>
      </c>
      <c r="H78" s="1" t="str">
        <f>IFERROR(__xludf.DUMMYFUNCTION("""COMPUTED_VALUE"""),"(IE)")</f>
        <v>(IE)</v>
      </c>
      <c r="I78" s="1" t="str">
        <f>vlookup(G78,'All Countries'!$A$1:$B$40,2,false)</f>
        <v>Ireland</v>
      </c>
    </row>
    <row r="79">
      <c r="A79" s="13" t="s">
        <v>509</v>
      </c>
      <c r="B79" s="13" t="s">
        <v>510</v>
      </c>
      <c r="C79" s="13"/>
      <c r="D79" s="13" t="s">
        <v>511</v>
      </c>
      <c r="E79" s="13" t="s">
        <v>512</v>
      </c>
      <c r="F79" s="13" t="s">
        <v>287</v>
      </c>
      <c r="G79" s="1" t="str">
        <f>IFERROR(__xludf.DUMMYFUNCTION("split(E79,"" "")"),"Israel")</f>
        <v>Israel</v>
      </c>
      <c r="H79" s="1" t="str">
        <f>IFERROR(__xludf.DUMMYFUNCTION("""COMPUTED_VALUE"""),"(IL)")</f>
        <v>(IL)</v>
      </c>
      <c r="I79" s="1" t="str">
        <f>vlookup(G79,'All Countries'!$A$1:$B$40,2,false)</f>
        <v>#N/A</v>
      </c>
    </row>
    <row r="80">
      <c r="A80" s="13" t="s">
        <v>513</v>
      </c>
      <c r="B80" s="13" t="s">
        <v>514</v>
      </c>
      <c r="C80" s="13"/>
      <c r="D80" s="13" t="s">
        <v>515</v>
      </c>
      <c r="E80" s="13" t="s">
        <v>512</v>
      </c>
      <c r="F80" s="13" t="s">
        <v>287</v>
      </c>
      <c r="G80" s="1" t="str">
        <f>IFERROR(__xludf.DUMMYFUNCTION("split(E80,"" "")"),"Israel")</f>
        <v>Israel</v>
      </c>
      <c r="H80" s="1" t="str">
        <f>IFERROR(__xludf.DUMMYFUNCTION("""COMPUTED_VALUE"""),"(IL)")</f>
        <v>(IL)</v>
      </c>
      <c r="I80" s="1" t="str">
        <f>vlookup(G80,'All Countries'!$A$1:$B$40,2,false)</f>
        <v>#N/A</v>
      </c>
    </row>
    <row r="81">
      <c r="A81" s="13" t="s">
        <v>516</v>
      </c>
      <c r="B81" s="13" t="s">
        <v>517</v>
      </c>
      <c r="C81" s="13"/>
      <c r="D81" s="13" t="s">
        <v>518</v>
      </c>
      <c r="E81" s="13" t="s">
        <v>512</v>
      </c>
      <c r="F81" s="13" t="s">
        <v>277</v>
      </c>
      <c r="G81" s="1" t="str">
        <f>IFERROR(__xludf.DUMMYFUNCTION("split(E81,"" "")"),"Israel")</f>
        <v>Israel</v>
      </c>
      <c r="H81" s="1" t="str">
        <f>IFERROR(__xludf.DUMMYFUNCTION("""COMPUTED_VALUE"""),"(IL)")</f>
        <v>(IL)</v>
      </c>
      <c r="I81" s="1" t="str">
        <f>vlookup(G81,'All Countries'!$A$1:$B$40,2,false)</f>
        <v>#N/A</v>
      </c>
    </row>
    <row r="82">
      <c r="A82" s="13" t="s">
        <v>519</v>
      </c>
      <c r="B82" s="13" t="s">
        <v>520</v>
      </c>
      <c r="C82" s="13"/>
      <c r="D82" s="13" t="s">
        <v>521</v>
      </c>
      <c r="E82" s="13" t="s">
        <v>522</v>
      </c>
      <c r="F82" s="13" t="s">
        <v>277</v>
      </c>
      <c r="G82" s="1" t="str">
        <f>IFERROR(__xludf.DUMMYFUNCTION("split(E82,"" "")"),"Italy")</f>
        <v>Italy</v>
      </c>
      <c r="H82" s="1" t="str">
        <f>IFERROR(__xludf.DUMMYFUNCTION("""COMPUTED_VALUE"""),"(IT)")</f>
        <v>(IT)</v>
      </c>
      <c r="I82" s="1" t="str">
        <f>vlookup(G82,'All Countries'!$A$1:$B$40,2,false)</f>
        <v>Italy</v>
      </c>
    </row>
    <row r="83">
      <c r="A83" s="13" t="s">
        <v>523</v>
      </c>
      <c r="B83" s="13" t="s">
        <v>524</v>
      </c>
      <c r="C83" s="13"/>
      <c r="D83" s="13" t="s">
        <v>525</v>
      </c>
      <c r="E83" s="13" t="s">
        <v>522</v>
      </c>
      <c r="F83" s="13" t="s">
        <v>277</v>
      </c>
      <c r="G83" s="1" t="str">
        <f>IFERROR(__xludf.DUMMYFUNCTION("split(E83,"" "")"),"Italy")</f>
        <v>Italy</v>
      </c>
      <c r="H83" s="1" t="str">
        <f>IFERROR(__xludf.DUMMYFUNCTION("""COMPUTED_VALUE"""),"(IT)")</f>
        <v>(IT)</v>
      </c>
      <c r="I83" s="1" t="str">
        <f>vlookup(G83,'All Countries'!$A$1:$B$40,2,false)</f>
        <v>Italy</v>
      </c>
    </row>
    <row r="84">
      <c r="A84" s="13" t="s">
        <v>526</v>
      </c>
      <c r="B84" s="13" t="s">
        <v>527</v>
      </c>
      <c r="C84" s="13"/>
      <c r="D84" s="13" t="s">
        <v>110</v>
      </c>
      <c r="E84" s="13" t="s">
        <v>522</v>
      </c>
      <c r="F84" s="13" t="s">
        <v>277</v>
      </c>
      <c r="G84" s="1" t="str">
        <f>IFERROR(__xludf.DUMMYFUNCTION("split(E84,"" "")"),"Italy")</f>
        <v>Italy</v>
      </c>
      <c r="H84" s="1" t="str">
        <f>IFERROR(__xludf.DUMMYFUNCTION("""COMPUTED_VALUE"""),"(IT)")</f>
        <v>(IT)</v>
      </c>
      <c r="I84" s="1" t="str">
        <f>vlookup(G84,'All Countries'!$A$1:$B$40,2,false)</f>
        <v>Italy</v>
      </c>
    </row>
    <row r="85">
      <c r="A85" s="13" t="s">
        <v>528</v>
      </c>
      <c r="B85" s="13" t="s">
        <v>529</v>
      </c>
      <c r="C85" s="13"/>
      <c r="D85" s="13" t="s">
        <v>530</v>
      </c>
      <c r="E85" s="13" t="s">
        <v>522</v>
      </c>
      <c r="F85" s="13" t="s">
        <v>277</v>
      </c>
      <c r="G85" s="1" t="str">
        <f>IFERROR(__xludf.DUMMYFUNCTION("split(E85,"" "")"),"Italy")</f>
        <v>Italy</v>
      </c>
      <c r="H85" s="1" t="str">
        <f>IFERROR(__xludf.DUMMYFUNCTION("""COMPUTED_VALUE"""),"(IT)")</f>
        <v>(IT)</v>
      </c>
      <c r="I85" s="1" t="str">
        <f>vlookup(G85,'All Countries'!$A$1:$B$40,2,false)</f>
        <v>Italy</v>
      </c>
    </row>
    <row r="86">
      <c r="A86" s="13" t="s">
        <v>531</v>
      </c>
      <c r="B86" s="13" t="s">
        <v>532</v>
      </c>
      <c r="C86" s="13"/>
      <c r="D86" s="14" t="s">
        <v>533</v>
      </c>
      <c r="E86" s="13" t="s">
        <v>522</v>
      </c>
      <c r="F86" s="13" t="s">
        <v>287</v>
      </c>
      <c r="G86" s="1" t="str">
        <f>IFERROR(__xludf.DUMMYFUNCTION("split(E86,"" "")"),"Italy")</f>
        <v>Italy</v>
      </c>
      <c r="H86" s="1" t="str">
        <f>IFERROR(__xludf.DUMMYFUNCTION("""COMPUTED_VALUE"""),"(IT)")</f>
        <v>(IT)</v>
      </c>
      <c r="I86" s="1" t="str">
        <f>vlookup(G86,'All Countries'!$A$1:$B$40,2,false)</f>
        <v>Italy</v>
      </c>
    </row>
    <row r="87">
      <c r="A87" s="13" t="s">
        <v>534</v>
      </c>
      <c r="B87" s="13" t="s">
        <v>535</v>
      </c>
      <c r="C87" s="13"/>
      <c r="D87" s="13" t="s">
        <v>536</v>
      </c>
      <c r="E87" s="13" t="s">
        <v>522</v>
      </c>
      <c r="F87" s="13" t="s">
        <v>277</v>
      </c>
      <c r="G87" s="1" t="str">
        <f>IFERROR(__xludf.DUMMYFUNCTION("split(E87,"" "")"),"Italy")</f>
        <v>Italy</v>
      </c>
      <c r="H87" s="1" t="str">
        <f>IFERROR(__xludf.DUMMYFUNCTION("""COMPUTED_VALUE"""),"(IT)")</f>
        <v>(IT)</v>
      </c>
      <c r="I87" s="1" t="str">
        <f>vlookup(G87,'All Countries'!$A$1:$B$40,2,false)</f>
        <v>Italy</v>
      </c>
    </row>
    <row r="88">
      <c r="A88" s="13" t="s">
        <v>537</v>
      </c>
      <c r="B88" s="13" t="s">
        <v>538</v>
      </c>
      <c r="C88" s="13"/>
      <c r="D88" s="13" t="s">
        <v>539</v>
      </c>
      <c r="E88" s="13" t="s">
        <v>522</v>
      </c>
      <c r="F88" s="13" t="s">
        <v>287</v>
      </c>
      <c r="G88" s="1" t="str">
        <f>IFERROR(__xludf.DUMMYFUNCTION("split(E88,"" "")"),"Italy")</f>
        <v>Italy</v>
      </c>
      <c r="H88" s="1" t="str">
        <f>IFERROR(__xludf.DUMMYFUNCTION("""COMPUTED_VALUE"""),"(IT)")</f>
        <v>(IT)</v>
      </c>
      <c r="I88" s="1" t="str">
        <f>vlookup(G88,'All Countries'!$A$1:$B$40,2,false)</f>
        <v>Italy</v>
      </c>
    </row>
    <row r="89">
      <c r="A89" s="13" t="s">
        <v>540</v>
      </c>
      <c r="B89" s="13" t="s">
        <v>541</v>
      </c>
      <c r="C89" s="13"/>
      <c r="D89" s="13" t="s">
        <v>106</v>
      </c>
      <c r="E89" s="13" t="s">
        <v>522</v>
      </c>
      <c r="F89" s="13" t="s">
        <v>277</v>
      </c>
      <c r="G89" s="1" t="str">
        <f>IFERROR(__xludf.DUMMYFUNCTION("split(E89,"" "")"),"Italy")</f>
        <v>Italy</v>
      </c>
      <c r="H89" s="1" t="str">
        <f>IFERROR(__xludf.DUMMYFUNCTION("""COMPUTED_VALUE"""),"(IT)")</f>
        <v>(IT)</v>
      </c>
      <c r="I89" s="1" t="str">
        <f>vlookup(G89,'All Countries'!$A$1:$B$40,2,false)</f>
        <v>Italy</v>
      </c>
    </row>
    <row r="90">
      <c r="A90" s="13" t="s">
        <v>523</v>
      </c>
      <c r="B90" s="13" t="s">
        <v>542</v>
      </c>
      <c r="C90" s="13"/>
      <c r="D90" s="13" t="s">
        <v>543</v>
      </c>
      <c r="E90" s="13" t="s">
        <v>522</v>
      </c>
      <c r="F90" s="13" t="s">
        <v>277</v>
      </c>
      <c r="G90" s="1" t="str">
        <f>IFERROR(__xludf.DUMMYFUNCTION("split(E90,"" "")"),"Italy")</f>
        <v>Italy</v>
      </c>
      <c r="H90" s="1" t="str">
        <f>IFERROR(__xludf.DUMMYFUNCTION("""COMPUTED_VALUE"""),"(IT)")</f>
        <v>(IT)</v>
      </c>
      <c r="I90" s="1" t="str">
        <f>vlookup(G90,'All Countries'!$A$1:$B$40,2,false)</f>
        <v>Italy</v>
      </c>
    </row>
    <row r="91">
      <c r="A91" s="13" t="s">
        <v>496</v>
      </c>
      <c r="B91" s="13" t="s">
        <v>544</v>
      </c>
      <c r="C91" s="13"/>
      <c r="D91" s="13" t="s">
        <v>114</v>
      </c>
      <c r="E91" s="13" t="s">
        <v>522</v>
      </c>
      <c r="F91" s="13" t="s">
        <v>277</v>
      </c>
      <c r="G91" s="1" t="str">
        <f>IFERROR(__xludf.DUMMYFUNCTION("split(E91,"" "")"),"Italy")</f>
        <v>Italy</v>
      </c>
      <c r="H91" s="1" t="str">
        <f>IFERROR(__xludf.DUMMYFUNCTION("""COMPUTED_VALUE"""),"(IT)")</f>
        <v>(IT)</v>
      </c>
      <c r="I91" s="1" t="str">
        <f>vlookup(G91,'All Countries'!$A$1:$B$40,2,false)</f>
        <v>Italy</v>
      </c>
    </row>
    <row r="92">
      <c r="A92" s="13" t="s">
        <v>545</v>
      </c>
      <c r="B92" s="13" t="s">
        <v>546</v>
      </c>
      <c r="C92" s="13"/>
      <c r="D92" s="13" t="s">
        <v>547</v>
      </c>
      <c r="E92" s="13" t="s">
        <v>522</v>
      </c>
      <c r="F92" s="13" t="s">
        <v>277</v>
      </c>
      <c r="G92" s="1" t="str">
        <f>IFERROR(__xludf.DUMMYFUNCTION("split(E92,"" "")"),"Italy")</f>
        <v>Italy</v>
      </c>
      <c r="H92" s="1" t="str">
        <f>IFERROR(__xludf.DUMMYFUNCTION("""COMPUTED_VALUE"""),"(IT)")</f>
        <v>(IT)</v>
      </c>
      <c r="I92" s="1" t="str">
        <f>vlookup(G92,'All Countries'!$A$1:$B$40,2,false)</f>
        <v>Italy</v>
      </c>
    </row>
    <row r="93">
      <c r="A93" s="13" t="s">
        <v>548</v>
      </c>
      <c r="B93" s="13" t="s">
        <v>549</v>
      </c>
      <c r="C93" s="13"/>
      <c r="D93" s="13" t="s">
        <v>550</v>
      </c>
      <c r="E93" s="13" t="s">
        <v>522</v>
      </c>
      <c r="F93" s="13" t="s">
        <v>277</v>
      </c>
      <c r="G93" s="1" t="str">
        <f>IFERROR(__xludf.DUMMYFUNCTION("split(E93,"" "")"),"Italy")</f>
        <v>Italy</v>
      </c>
      <c r="H93" s="1" t="str">
        <f>IFERROR(__xludf.DUMMYFUNCTION("""COMPUTED_VALUE"""),"(IT)")</f>
        <v>(IT)</v>
      </c>
      <c r="I93" s="1" t="str">
        <f>vlookup(G93,'All Countries'!$A$1:$B$40,2,false)</f>
        <v>Italy</v>
      </c>
    </row>
    <row r="94">
      <c r="A94" s="13" t="s">
        <v>551</v>
      </c>
      <c r="B94" s="13" t="s">
        <v>552</v>
      </c>
      <c r="C94" s="13"/>
      <c r="D94" s="13" t="s">
        <v>553</v>
      </c>
      <c r="E94" s="13" t="s">
        <v>522</v>
      </c>
      <c r="F94" s="13" t="s">
        <v>277</v>
      </c>
      <c r="G94" s="1" t="str">
        <f>IFERROR(__xludf.DUMMYFUNCTION("split(E94,"" "")"),"Italy")</f>
        <v>Italy</v>
      </c>
      <c r="H94" s="1" t="str">
        <f>IFERROR(__xludf.DUMMYFUNCTION("""COMPUTED_VALUE"""),"(IT)")</f>
        <v>(IT)</v>
      </c>
      <c r="I94" s="1" t="str">
        <f>vlookup(G94,'All Countries'!$A$1:$B$40,2,false)</f>
        <v>Italy</v>
      </c>
    </row>
    <row r="95">
      <c r="A95" s="13" t="s">
        <v>554</v>
      </c>
      <c r="B95" s="13" t="s">
        <v>555</v>
      </c>
      <c r="C95" s="13"/>
      <c r="D95" s="13" t="s">
        <v>556</v>
      </c>
      <c r="E95" s="13" t="s">
        <v>557</v>
      </c>
      <c r="F95" s="13" t="s">
        <v>277</v>
      </c>
      <c r="G95" s="1" t="str">
        <f>IFERROR(__xludf.DUMMYFUNCTION("split(E95,"" "")"),"Kosovo*")</f>
        <v>Kosovo*</v>
      </c>
      <c r="H95" s="1" t="str">
        <f>IFERROR(__xludf.DUMMYFUNCTION("""COMPUTED_VALUE"""),"(KV)")</f>
        <v>(KV)</v>
      </c>
      <c r="I95" s="1" t="str">
        <f>vlookup(G95,'All Countries'!$A$1:$B$40,2,false)</f>
        <v>#N/A</v>
      </c>
    </row>
    <row r="96">
      <c r="A96" s="13" t="s">
        <v>558</v>
      </c>
      <c r="B96" s="13" t="s">
        <v>559</v>
      </c>
      <c r="C96" s="13"/>
      <c r="D96" s="13" t="s">
        <v>164</v>
      </c>
      <c r="E96" s="13" t="s">
        <v>557</v>
      </c>
      <c r="F96" s="13" t="s">
        <v>277</v>
      </c>
      <c r="G96" s="1" t="str">
        <f>IFERROR(__xludf.DUMMYFUNCTION("split(E96,"" "")"),"Kosovo*")</f>
        <v>Kosovo*</v>
      </c>
      <c r="H96" s="1" t="str">
        <f>IFERROR(__xludf.DUMMYFUNCTION("""COMPUTED_VALUE"""),"(KV)")</f>
        <v>(KV)</v>
      </c>
      <c r="I96" s="1" t="str">
        <f>vlookup(G96,'All Countries'!$A$1:$B$40,2,false)</f>
        <v>#N/A</v>
      </c>
    </row>
    <row r="97">
      <c r="A97" s="13" t="s">
        <v>560</v>
      </c>
      <c r="B97" s="13" t="s">
        <v>561</v>
      </c>
      <c r="C97" s="13"/>
      <c r="D97" s="13" t="s">
        <v>562</v>
      </c>
      <c r="E97" s="13" t="s">
        <v>557</v>
      </c>
      <c r="F97" s="13" t="s">
        <v>277</v>
      </c>
      <c r="G97" s="1" t="str">
        <f>IFERROR(__xludf.DUMMYFUNCTION("split(E97,"" "")"),"Kosovo*")</f>
        <v>Kosovo*</v>
      </c>
      <c r="H97" s="1" t="str">
        <f>IFERROR(__xludf.DUMMYFUNCTION("""COMPUTED_VALUE"""),"(KV)")</f>
        <v>(KV)</v>
      </c>
      <c r="I97" s="1" t="str">
        <f>vlookup(G97,'All Countries'!$A$1:$B$40,2,false)</f>
        <v>#N/A</v>
      </c>
    </row>
    <row r="98">
      <c r="A98" s="13" t="s">
        <v>563</v>
      </c>
      <c r="B98" s="13" t="s">
        <v>564</v>
      </c>
      <c r="C98" s="13"/>
      <c r="D98" s="13" t="s">
        <v>117</v>
      </c>
      <c r="E98" s="13" t="s">
        <v>565</v>
      </c>
      <c r="F98" s="13" t="s">
        <v>287</v>
      </c>
      <c r="G98" s="1" t="str">
        <f>IFERROR(__xludf.DUMMYFUNCTION("split(E98,"" "")"),"Latvia")</f>
        <v>Latvia</v>
      </c>
      <c r="H98" s="1" t="str">
        <f>IFERROR(__xludf.DUMMYFUNCTION("""COMPUTED_VALUE"""),"(LV)")</f>
        <v>(LV)</v>
      </c>
      <c r="I98" s="1" t="str">
        <f>vlookup(G98,'All Countries'!$A$1:$B$40,2,false)</f>
        <v>Latvia</v>
      </c>
    </row>
    <row r="99">
      <c r="A99" s="13" t="s">
        <v>566</v>
      </c>
      <c r="B99" s="13" t="s">
        <v>567</v>
      </c>
      <c r="C99" s="13"/>
      <c r="D99" s="13" t="s">
        <v>124</v>
      </c>
      <c r="E99" s="13" t="s">
        <v>568</v>
      </c>
      <c r="F99" s="13" t="s">
        <v>287</v>
      </c>
      <c r="G99" s="1" t="str">
        <f>IFERROR(__xludf.DUMMYFUNCTION("split(E99,"" "")"),"Lithuania")</f>
        <v>Lithuania</v>
      </c>
      <c r="H99" s="1" t="str">
        <f>IFERROR(__xludf.DUMMYFUNCTION("""COMPUTED_VALUE"""),"(LT)")</f>
        <v>(LT)</v>
      </c>
      <c r="I99" s="1" t="str">
        <f>vlookup(G99,'All Countries'!$A$1:$B$40,2,false)</f>
        <v>Lithuania</v>
      </c>
    </row>
    <row r="100">
      <c r="A100" s="13" t="s">
        <v>569</v>
      </c>
      <c r="B100" s="13" t="s">
        <v>570</v>
      </c>
      <c r="C100" s="13"/>
      <c r="D100" s="13" t="s">
        <v>571</v>
      </c>
      <c r="E100" s="13" t="s">
        <v>568</v>
      </c>
      <c r="F100" s="13" t="s">
        <v>277</v>
      </c>
      <c r="G100" s="1" t="str">
        <f>IFERROR(__xludf.DUMMYFUNCTION("split(E100,"" "")"),"Lithuania")</f>
        <v>Lithuania</v>
      </c>
      <c r="H100" s="1" t="str">
        <f>IFERROR(__xludf.DUMMYFUNCTION("""COMPUTED_VALUE"""),"(LT)")</f>
        <v>(LT)</v>
      </c>
      <c r="I100" s="1" t="str">
        <f>vlookup(G100,'All Countries'!$A$1:$B$40,2,false)</f>
        <v>Lithuania</v>
      </c>
    </row>
    <row r="101">
      <c r="A101" s="13" t="s">
        <v>572</v>
      </c>
      <c r="B101" s="13" t="s">
        <v>573</v>
      </c>
      <c r="C101" s="13"/>
      <c r="D101" s="13" t="s">
        <v>574</v>
      </c>
      <c r="E101" s="13" t="s">
        <v>568</v>
      </c>
      <c r="F101" s="13" t="s">
        <v>287</v>
      </c>
      <c r="G101" s="1" t="str">
        <f>IFERROR(__xludf.DUMMYFUNCTION("split(E101,"" "")"),"Lithuania")</f>
        <v>Lithuania</v>
      </c>
      <c r="H101" s="1" t="str">
        <f>IFERROR(__xludf.DUMMYFUNCTION("""COMPUTED_VALUE"""),"(LT)")</f>
        <v>(LT)</v>
      </c>
      <c r="I101" s="1" t="str">
        <f>vlookup(G101,'All Countries'!$A$1:$B$40,2,false)</f>
        <v>Lithuania</v>
      </c>
    </row>
    <row r="102">
      <c r="A102" s="13" t="s">
        <v>575</v>
      </c>
      <c r="B102" s="13" t="s">
        <v>576</v>
      </c>
      <c r="C102" s="13"/>
      <c r="D102" s="13" t="s">
        <v>577</v>
      </c>
      <c r="E102" s="13" t="s">
        <v>568</v>
      </c>
      <c r="F102" s="13" t="s">
        <v>277</v>
      </c>
      <c r="G102" s="1" t="str">
        <f>IFERROR(__xludf.DUMMYFUNCTION("split(E102,"" "")"),"Lithuania")</f>
        <v>Lithuania</v>
      </c>
      <c r="H102" s="1" t="str">
        <f>IFERROR(__xludf.DUMMYFUNCTION("""COMPUTED_VALUE"""),"(LT)")</f>
        <v>(LT)</v>
      </c>
      <c r="I102" s="1" t="str">
        <f>vlookup(G102,'All Countries'!$A$1:$B$40,2,false)</f>
        <v>Lithuania</v>
      </c>
    </row>
    <row r="103">
      <c r="A103" s="13" t="s">
        <v>578</v>
      </c>
      <c r="B103" s="13" t="s">
        <v>579</v>
      </c>
      <c r="C103" s="13"/>
      <c r="D103" s="15" t="s">
        <v>580</v>
      </c>
      <c r="E103" s="13" t="s">
        <v>568</v>
      </c>
      <c r="F103" s="13" t="s">
        <v>277</v>
      </c>
      <c r="G103" s="1" t="str">
        <f>IFERROR(__xludf.DUMMYFUNCTION("split(E103,"" "")"),"Lithuania")</f>
        <v>Lithuania</v>
      </c>
      <c r="H103" s="1" t="str">
        <f>IFERROR(__xludf.DUMMYFUNCTION("""COMPUTED_VALUE"""),"(LT)")</f>
        <v>(LT)</v>
      </c>
      <c r="I103" s="1" t="str">
        <f>vlookup(G103,'All Countries'!$A$1:$B$40,2,false)</f>
        <v>Lithuania</v>
      </c>
    </row>
    <row r="104">
      <c r="A104" s="13" t="s">
        <v>581</v>
      </c>
      <c r="B104" s="13" t="s">
        <v>582</v>
      </c>
      <c r="C104" s="13"/>
      <c r="D104" s="13" t="s">
        <v>583</v>
      </c>
      <c r="E104" s="13" t="s">
        <v>584</v>
      </c>
      <c r="F104" s="13" t="s">
        <v>287</v>
      </c>
      <c r="G104" s="1" t="str">
        <f>IFERROR(__xludf.DUMMYFUNCTION("split(E104,"" "")"),"Luxembourg")</f>
        <v>Luxembourg</v>
      </c>
      <c r="H104" s="1" t="str">
        <f>IFERROR(__xludf.DUMMYFUNCTION("""COMPUTED_VALUE"""),"(LU)")</f>
        <v>(LU)</v>
      </c>
      <c r="I104" s="1" t="str">
        <f>vlookup(G104,'All Countries'!$A$1:$B$40,2,false)</f>
        <v>#N/A</v>
      </c>
    </row>
    <row r="105">
      <c r="A105" s="13" t="s">
        <v>585</v>
      </c>
      <c r="B105" s="13" t="s">
        <v>586</v>
      </c>
      <c r="C105" s="13"/>
      <c r="D105" s="13" t="s">
        <v>587</v>
      </c>
      <c r="E105" s="13" t="s">
        <v>584</v>
      </c>
      <c r="F105" s="13" t="s">
        <v>287</v>
      </c>
      <c r="G105" s="1" t="str">
        <f>IFERROR(__xludf.DUMMYFUNCTION("split(E105,"" "")"),"Luxembourg")</f>
        <v>Luxembourg</v>
      </c>
      <c r="H105" s="1" t="str">
        <f>IFERROR(__xludf.DUMMYFUNCTION("""COMPUTED_VALUE"""),"(LU)")</f>
        <v>(LU)</v>
      </c>
      <c r="I105" s="1" t="str">
        <f>vlookup(G105,'All Countries'!$A$1:$B$40,2,false)</f>
        <v>#N/A</v>
      </c>
    </row>
    <row r="106">
      <c r="A106" s="13" t="s">
        <v>588</v>
      </c>
      <c r="B106" s="13" t="s">
        <v>589</v>
      </c>
      <c r="C106" s="13"/>
      <c r="D106" s="13" t="s">
        <v>590</v>
      </c>
      <c r="E106" s="13" t="s">
        <v>591</v>
      </c>
      <c r="F106" s="13" t="s">
        <v>287</v>
      </c>
      <c r="G106" s="1" t="str">
        <f>IFERROR(__xludf.DUMMYFUNCTION("split(E106,"" "")"),"Malta")</f>
        <v>Malta</v>
      </c>
      <c r="H106" s="1" t="str">
        <f>IFERROR(__xludf.DUMMYFUNCTION("""COMPUTED_VALUE"""),"(MT)")</f>
        <v>(MT)</v>
      </c>
      <c r="I106" s="1" t="str">
        <f>vlookup(G106,'All Countries'!$A$1:$B$40,2,false)</f>
        <v>Malta</v>
      </c>
    </row>
    <row r="107">
      <c r="A107" s="13" t="s">
        <v>592</v>
      </c>
      <c r="B107" s="13" t="s">
        <v>593</v>
      </c>
      <c r="C107" s="13"/>
      <c r="D107" s="13" t="s">
        <v>134</v>
      </c>
      <c r="E107" s="13" t="s">
        <v>591</v>
      </c>
      <c r="F107" s="13" t="s">
        <v>287</v>
      </c>
      <c r="G107" s="1" t="str">
        <f>IFERROR(__xludf.DUMMYFUNCTION("split(E107,"" "")"),"Malta")</f>
        <v>Malta</v>
      </c>
      <c r="H107" s="1" t="str">
        <f>IFERROR(__xludf.DUMMYFUNCTION("""COMPUTED_VALUE"""),"(MT)")</f>
        <v>(MT)</v>
      </c>
      <c r="I107" s="1" t="str">
        <f>vlookup(G107,'All Countries'!$A$1:$B$40,2,false)</f>
        <v>Malta</v>
      </c>
    </row>
    <row r="108">
      <c r="A108" s="13" t="s">
        <v>594</v>
      </c>
      <c r="B108" s="14" t="s">
        <v>595</v>
      </c>
      <c r="C108" s="13"/>
      <c r="D108" s="13" t="s">
        <v>596</v>
      </c>
      <c r="E108" s="13" t="s">
        <v>591</v>
      </c>
      <c r="F108" s="13" t="s">
        <v>277</v>
      </c>
      <c r="G108" s="1" t="str">
        <f>IFERROR(__xludf.DUMMYFUNCTION("split(E108,"" "")"),"Malta")</f>
        <v>Malta</v>
      </c>
      <c r="H108" s="1" t="str">
        <f>IFERROR(__xludf.DUMMYFUNCTION("""COMPUTED_VALUE"""),"(MT)")</f>
        <v>(MT)</v>
      </c>
      <c r="I108" s="1" t="str">
        <f>vlookup(G108,'All Countries'!$A$1:$B$40,2,false)</f>
        <v>Malta</v>
      </c>
    </row>
    <row r="109">
      <c r="A109" s="13" t="s">
        <v>597</v>
      </c>
      <c r="B109" s="13" t="s">
        <v>598</v>
      </c>
      <c r="C109" s="13"/>
      <c r="D109" s="13" t="s">
        <v>599</v>
      </c>
      <c r="E109" s="13" t="s">
        <v>591</v>
      </c>
      <c r="F109" s="13" t="s">
        <v>277</v>
      </c>
      <c r="G109" s="1" t="str">
        <f>IFERROR(__xludf.DUMMYFUNCTION("split(E109,"" "")"),"Malta")</f>
        <v>Malta</v>
      </c>
      <c r="H109" s="1" t="str">
        <f>IFERROR(__xludf.DUMMYFUNCTION("""COMPUTED_VALUE"""),"(MT)")</f>
        <v>(MT)</v>
      </c>
      <c r="I109" s="1" t="str">
        <f>vlookup(G109,'All Countries'!$A$1:$B$40,2,false)</f>
        <v>Malta</v>
      </c>
    </row>
    <row r="110">
      <c r="A110" s="13" t="s">
        <v>600</v>
      </c>
      <c r="B110" s="13" t="s">
        <v>601</v>
      </c>
      <c r="C110" s="13"/>
      <c r="D110" s="13" t="s">
        <v>602</v>
      </c>
      <c r="E110" s="13" t="s">
        <v>603</v>
      </c>
      <c r="F110" s="13" t="s">
        <v>287</v>
      </c>
      <c r="G110" s="1" t="str">
        <f>IFERROR(__xludf.DUMMYFUNCTION("split(E110,"" "")"),"Moldova")</f>
        <v>Moldova</v>
      </c>
      <c r="H110" s="1" t="str">
        <f>IFERROR(__xludf.DUMMYFUNCTION("""COMPUTED_VALUE"""),"(MD)")</f>
        <v>(MD)</v>
      </c>
      <c r="I110" s="1" t="str">
        <f>vlookup(G110,'All Countries'!$A$1:$B$40,2,false)</f>
        <v>#N/A</v>
      </c>
    </row>
    <row r="111">
      <c r="A111" s="13" t="s">
        <v>604</v>
      </c>
      <c r="B111" s="13" t="s">
        <v>605</v>
      </c>
      <c r="C111" s="13"/>
      <c r="D111" s="13" t="s">
        <v>606</v>
      </c>
      <c r="E111" s="13" t="s">
        <v>607</v>
      </c>
      <c r="F111" s="13" t="s">
        <v>287</v>
      </c>
      <c r="G111" s="1" t="str">
        <f>IFERROR(__xludf.DUMMYFUNCTION("split(E111,"" "")"),"Montenegro")</f>
        <v>Montenegro</v>
      </c>
      <c r="H111" s="1" t="str">
        <f>IFERROR(__xludf.DUMMYFUNCTION("""COMPUTED_VALUE"""),"(ME)")</f>
        <v>(ME)</v>
      </c>
      <c r="I111" s="1" t="str">
        <f>vlookup(G111,'All Countries'!$A$1:$B$40,2,false)</f>
        <v>#N/A</v>
      </c>
    </row>
    <row r="112">
      <c r="A112" s="13" t="s">
        <v>608</v>
      </c>
      <c r="B112" s="13" t="s">
        <v>609</v>
      </c>
      <c r="C112" s="13"/>
      <c r="D112" s="13" t="s">
        <v>610</v>
      </c>
      <c r="E112" s="13" t="s">
        <v>607</v>
      </c>
      <c r="F112" s="13" t="s">
        <v>277</v>
      </c>
      <c r="G112" s="1" t="str">
        <f>IFERROR(__xludf.DUMMYFUNCTION("split(E112,"" "")"),"Montenegro")</f>
        <v>Montenegro</v>
      </c>
      <c r="H112" s="1" t="str">
        <f>IFERROR(__xludf.DUMMYFUNCTION("""COMPUTED_VALUE"""),"(ME)")</f>
        <v>(ME)</v>
      </c>
      <c r="I112" s="1" t="str">
        <f>vlookup(G112,'All Countries'!$A$1:$B$40,2,false)</f>
        <v>#N/A</v>
      </c>
    </row>
    <row r="113">
      <c r="A113" s="13" t="s">
        <v>314</v>
      </c>
      <c r="B113" s="13" t="s">
        <v>611</v>
      </c>
      <c r="C113" s="13"/>
      <c r="D113" s="13" t="s">
        <v>141</v>
      </c>
      <c r="E113" s="13" t="s">
        <v>612</v>
      </c>
      <c r="F113" s="13" t="s">
        <v>287</v>
      </c>
      <c r="G113" s="1" t="str">
        <f>IFERROR(__xludf.DUMMYFUNCTION("split(E113,"" "")"),"Netherlands")</f>
        <v>Netherlands</v>
      </c>
      <c r="H113" s="1" t="str">
        <f>IFERROR(__xludf.DUMMYFUNCTION("""COMPUTED_VALUE"""),"(NL)")</f>
        <v>(NL)</v>
      </c>
      <c r="I113" s="1" t="str">
        <f>vlookup(G113,'All Countries'!$A$1:$B$40,2,false)</f>
        <v>Netherlands</v>
      </c>
    </row>
    <row r="114">
      <c r="A114" s="13" t="s">
        <v>613</v>
      </c>
      <c r="B114" s="13" t="s">
        <v>614</v>
      </c>
      <c r="C114" s="13"/>
      <c r="D114" s="13" t="s">
        <v>615</v>
      </c>
      <c r="E114" s="13" t="s">
        <v>612</v>
      </c>
      <c r="F114" s="13" t="s">
        <v>277</v>
      </c>
      <c r="G114" s="1" t="str">
        <f>IFERROR(__xludf.DUMMYFUNCTION("split(E114,"" "")"),"Netherlands")</f>
        <v>Netherlands</v>
      </c>
      <c r="H114" s="1" t="str">
        <f>IFERROR(__xludf.DUMMYFUNCTION("""COMPUTED_VALUE"""),"(NL)")</f>
        <v>(NL)</v>
      </c>
      <c r="I114" s="1" t="str">
        <f>vlookup(G114,'All Countries'!$A$1:$B$40,2,false)</f>
        <v>Netherlands</v>
      </c>
    </row>
    <row r="115">
      <c r="A115" s="13" t="s">
        <v>616</v>
      </c>
      <c r="B115" s="13" t="s">
        <v>617</v>
      </c>
      <c r="C115" s="13"/>
      <c r="D115" s="13" t="s">
        <v>618</v>
      </c>
      <c r="E115" s="13" t="s">
        <v>612</v>
      </c>
      <c r="F115" s="13" t="s">
        <v>287</v>
      </c>
      <c r="G115" s="1" t="str">
        <f>IFERROR(__xludf.DUMMYFUNCTION("split(E115,"" "")"),"Netherlands")</f>
        <v>Netherlands</v>
      </c>
      <c r="H115" s="1" t="str">
        <f>IFERROR(__xludf.DUMMYFUNCTION("""COMPUTED_VALUE"""),"(NL)")</f>
        <v>(NL)</v>
      </c>
      <c r="I115" s="1" t="str">
        <f>vlookup(G115,'All Countries'!$A$1:$B$40,2,false)</f>
        <v>Netherlands</v>
      </c>
    </row>
    <row r="116">
      <c r="A116" s="13" t="s">
        <v>456</v>
      </c>
      <c r="B116" s="13" t="s">
        <v>619</v>
      </c>
      <c r="C116" s="13"/>
      <c r="D116" s="13" t="s">
        <v>620</v>
      </c>
      <c r="E116" s="13" t="s">
        <v>612</v>
      </c>
      <c r="F116" s="13" t="s">
        <v>277</v>
      </c>
      <c r="G116" s="1" t="str">
        <f>IFERROR(__xludf.DUMMYFUNCTION("split(E116,"" "")"),"Netherlands")</f>
        <v>Netherlands</v>
      </c>
      <c r="H116" s="1" t="str">
        <f>IFERROR(__xludf.DUMMYFUNCTION("""COMPUTED_VALUE"""),"(NL)")</f>
        <v>(NL)</v>
      </c>
      <c r="I116" s="1" t="str">
        <f>vlookup(G116,'All Countries'!$A$1:$B$40,2,false)</f>
        <v>Netherlands</v>
      </c>
    </row>
    <row r="117">
      <c r="A117" s="13" t="s">
        <v>621</v>
      </c>
      <c r="B117" s="13" t="s">
        <v>622</v>
      </c>
      <c r="C117" s="13"/>
      <c r="D117" s="13" t="s">
        <v>623</v>
      </c>
      <c r="E117" s="13" t="s">
        <v>624</v>
      </c>
      <c r="F117" s="13" t="s">
        <v>277</v>
      </c>
      <c r="G117" s="1" t="str">
        <f>IFERROR(__xludf.DUMMYFUNCTION("split(E117,"" "")"),"#REF!")</f>
        <v>#REF!</v>
      </c>
      <c r="H117" s="1"/>
      <c r="I117" s="1" t="str">
        <f>vlookup(G117,'All Countries'!$A$1:$B$40,2,false)</f>
        <v>#REF!</v>
      </c>
    </row>
    <row r="118">
      <c r="A118" s="13" t="s">
        <v>625</v>
      </c>
      <c r="B118" s="13" t="s">
        <v>626</v>
      </c>
      <c r="C118" s="13"/>
      <c r="D118" s="13" t="s">
        <v>137</v>
      </c>
      <c r="E118" s="13" t="s">
        <v>627</v>
      </c>
      <c r="F118" s="13" t="s">
        <v>287</v>
      </c>
      <c r="G118" s="6" t="s">
        <v>146</v>
      </c>
      <c r="I118" s="1" t="str">
        <f>vlookup(G118,'All Countries'!$A$1:$B$40,2,false)</f>
        <v>North Macedonia</v>
      </c>
    </row>
    <row r="119">
      <c r="A119" s="13" t="s">
        <v>628</v>
      </c>
      <c r="B119" s="13" t="s">
        <v>629</v>
      </c>
      <c r="C119" s="13"/>
      <c r="D119" s="13" t="s">
        <v>630</v>
      </c>
      <c r="E119" s="13" t="s">
        <v>627</v>
      </c>
      <c r="F119" s="13" t="s">
        <v>277</v>
      </c>
      <c r="G119" s="6" t="s">
        <v>146</v>
      </c>
      <c r="I119" s="1" t="str">
        <f>vlookup(G119,'All Countries'!$A$1:$B$40,2,false)</f>
        <v>North Macedonia</v>
      </c>
    </row>
    <row r="120">
      <c r="A120" s="13" t="s">
        <v>631</v>
      </c>
      <c r="B120" s="15" t="s">
        <v>632</v>
      </c>
      <c r="C120" s="13"/>
      <c r="D120" s="13" t="s">
        <v>633</v>
      </c>
      <c r="E120" s="13" t="s">
        <v>627</v>
      </c>
      <c r="F120" s="13" t="s">
        <v>287</v>
      </c>
      <c r="G120" s="6" t="s">
        <v>146</v>
      </c>
      <c r="I120" s="1" t="str">
        <f>vlookup(G120,'All Countries'!$A$1:$B$40,2,false)</f>
        <v>North Macedonia</v>
      </c>
    </row>
    <row r="121">
      <c r="A121" s="13" t="s">
        <v>634</v>
      </c>
      <c r="B121" s="13" t="s">
        <v>635</v>
      </c>
      <c r="C121" s="13"/>
      <c r="D121" s="13" t="s">
        <v>636</v>
      </c>
      <c r="E121" s="13" t="s">
        <v>627</v>
      </c>
      <c r="F121" s="13" t="s">
        <v>277</v>
      </c>
      <c r="G121" s="6" t="s">
        <v>146</v>
      </c>
      <c r="I121" s="1" t="str">
        <f>vlookup(G121,'All Countries'!$A$1:$B$40,2,false)</f>
        <v>North Macedonia</v>
      </c>
    </row>
    <row r="122">
      <c r="A122" s="13" t="s">
        <v>637</v>
      </c>
      <c r="B122" s="13" t="s">
        <v>638</v>
      </c>
      <c r="C122" s="13"/>
      <c r="D122" s="13" t="s">
        <v>639</v>
      </c>
      <c r="E122" s="13" t="s">
        <v>627</v>
      </c>
      <c r="F122" s="13" t="s">
        <v>277</v>
      </c>
      <c r="G122" s="6" t="s">
        <v>146</v>
      </c>
      <c r="I122" s="1" t="str">
        <f>vlookup(G122,'All Countries'!$A$1:$B$40,2,false)</f>
        <v>North Macedonia</v>
      </c>
    </row>
    <row r="123">
      <c r="A123" s="13" t="s">
        <v>456</v>
      </c>
      <c r="B123" s="13" t="s">
        <v>640</v>
      </c>
      <c r="C123" s="13"/>
      <c r="D123" s="13" t="s">
        <v>641</v>
      </c>
      <c r="E123" s="13" t="s">
        <v>642</v>
      </c>
      <c r="F123" s="13" t="s">
        <v>287</v>
      </c>
      <c r="G123" s="1" t="str">
        <f>IFERROR(__xludf.DUMMYFUNCTION("split(E123,"" "")"),"Norway")</f>
        <v>Norway</v>
      </c>
      <c r="H123" s="1" t="str">
        <f>IFERROR(__xludf.DUMMYFUNCTION("""COMPUTED_VALUE"""),"(NO)")</f>
        <v>(NO)</v>
      </c>
      <c r="I123" s="1" t="str">
        <f>vlookup(G123,'All Countries'!$A$1:$B$40,2,false)</f>
        <v>Norway</v>
      </c>
    </row>
    <row r="124">
      <c r="A124" s="13" t="s">
        <v>643</v>
      </c>
      <c r="B124" s="13" t="s">
        <v>644</v>
      </c>
      <c r="C124" s="13"/>
      <c r="D124" s="13" t="s">
        <v>148</v>
      </c>
      <c r="E124" s="13" t="s">
        <v>642</v>
      </c>
      <c r="F124" s="13" t="s">
        <v>277</v>
      </c>
      <c r="G124" s="1" t="str">
        <f>IFERROR(__xludf.DUMMYFUNCTION("split(E124,"" "")"),"Norway")</f>
        <v>Norway</v>
      </c>
      <c r="H124" s="1" t="str">
        <f>IFERROR(__xludf.DUMMYFUNCTION("""COMPUTED_VALUE"""),"(NO)")</f>
        <v>(NO)</v>
      </c>
      <c r="I124" s="1" t="str">
        <f>vlookup(G124,'All Countries'!$A$1:$B$40,2,false)</f>
        <v>Norway</v>
      </c>
    </row>
    <row r="125">
      <c r="A125" s="13" t="s">
        <v>645</v>
      </c>
      <c r="B125" s="13" t="s">
        <v>646</v>
      </c>
      <c r="C125" s="13"/>
      <c r="D125" s="13" t="s">
        <v>647</v>
      </c>
      <c r="E125" s="13" t="s">
        <v>642</v>
      </c>
      <c r="F125" s="13" t="s">
        <v>287</v>
      </c>
      <c r="G125" s="1" t="str">
        <f>IFERROR(__xludf.DUMMYFUNCTION("split(E125,"" "")"),"Norway")</f>
        <v>Norway</v>
      </c>
      <c r="H125" s="1" t="str">
        <f>IFERROR(__xludf.DUMMYFUNCTION("""COMPUTED_VALUE"""),"(NO)")</f>
        <v>(NO)</v>
      </c>
      <c r="I125" s="1" t="str">
        <f>vlookup(G125,'All Countries'!$A$1:$B$40,2,false)</f>
        <v>Norway</v>
      </c>
    </row>
    <row r="126">
      <c r="A126" s="13" t="s">
        <v>648</v>
      </c>
      <c r="B126" s="13" t="s">
        <v>649</v>
      </c>
      <c r="C126" s="13"/>
      <c r="D126" s="13" t="s">
        <v>650</v>
      </c>
      <c r="E126" s="13" t="s">
        <v>642</v>
      </c>
      <c r="F126" s="13" t="s">
        <v>277</v>
      </c>
      <c r="G126" s="1" t="str">
        <f>IFERROR(__xludf.DUMMYFUNCTION("split(E126,"" "")"),"Norway")</f>
        <v>Norway</v>
      </c>
      <c r="H126" s="1" t="str">
        <f>IFERROR(__xludf.DUMMYFUNCTION("""COMPUTED_VALUE"""),"(NO)")</f>
        <v>(NO)</v>
      </c>
      <c r="I126" s="1" t="str">
        <f>vlookup(G126,'All Countries'!$A$1:$B$40,2,false)</f>
        <v>Norway</v>
      </c>
    </row>
    <row r="127">
      <c r="A127" s="13" t="s">
        <v>651</v>
      </c>
      <c r="B127" s="14" t="s">
        <v>652</v>
      </c>
      <c r="C127" s="13"/>
      <c r="D127" s="13" t="s">
        <v>653</v>
      </c>
      <c r="E127" s="13" t="s">
        <v>642</v>
      </c>
      <c r="F127" s="13" t="s">
        <v>277</v>
      </c>
      <c r="G127" s="1" t="str">
        <f>IFERROR(__xludf.DUMMYFUNCTION("split(E127,"" "")"),"Norway")</f>
        <v>Norway</v>
      </c>
      <c r="H127" s="1" t="str">
        <f>IFERROR(__xludf.DUMMYFUNCTION("""COMPUTED_VALUE"""),"(NO)")</f>
        <v>(NO)</v>
      </c>
      <c r="I127" s="1" t="str">
        <f>vlookup(G127,'All Countries'!$A$1:$B$40,2,false)</f>
        <v>Norway</v>
      </c>
    </row>
    <row r="128">
      <c r="A128" s="13" t="s">
        <v>654</v>
      </c>
      <c r="B128" s="13" t="s">
        <v>655</v>
      </c>
      <c r="C128" s="13"/>
      <c r="D128" s="13" t="s">
        <v>656</v>
      </c>
      <c r="E128" s="13" t="s">
        <v>642</v>
      </c>
      <c r="F128" s="13" t="s">
        <v>277</v>
      </c>
      <c r="G128" s="1" t="str">
        <f>IFERROR(__xludf.DUMMYFUNCTION("split(E128,"" "")"),"Norway")</f>
        <v>Norway</v>
      </c>
      <c r="H128" s="1" t="str">
        <f>IFERROR(__xludf.DUMMYFUNCTION("""COMPUTED_VALUE"""),"(NO)")</f>
        <v>(NO)</v>
      </c>
      <c r="I128" s="1" t="str">
        <f>vlookup(G128,'All Countries'!$A$1:$B$40,2,false)</f>
        <v>Norway</v>
      </c>
    </row>
    <row r="129">
      <c r="A129" s="13" t="s">
        <v>657</v>
      </c>
      <c r="B129" s="13" t="s">
        <v>658</v>
      </c>
      <c r="C129" s="13"/>
      <c r="D129" s="13" t="s">
        <v>659</v>
      </c>
      <c r="E129" s="13" t="s">
        <v>660</v>
      </c>
      <c r="F129" s="13" t="s">
        <v>277</v>
      </c>
      <c r="G129" s="1" t="str">
        <f>IFERROR(__xludf.DUMMYFUNCTION("split(E129,"" "")"),"Palestine**")</f>
        <v>Palestine**</v>
      </c>
      <c r="H129" s="1" t="str">
        <f>IFERROR(__xludf.DUMMYFUNCTION("""COMPUTED_VALUE"""),"(PS)")</f>
        <v>(PS)</v>
      </c>
      <c r="I129" s="1" t="str">
        <f>vlookup(G129,'All Countries'!$A$1:$B$40,2,false)</f>
        <v>#N/A</v>
      </c>
    </row>
    <row r="130">
      <c r="A130" s="13" t="s">
        <v>661</v>
      </c>
      <c r="B130" s="13" t="s">
        <v>658</v>
      </c>
      <c r="C130" s="13"/>
      <c r="D130" s="13" t="s">
        <v>662</v>
      </c>
      <c r="E130" s="13" t="s">
        <v>660</v>
      </c>
      <c r="F130" s="13" t="s">
        <v>277</v>
      </c>
      <c r="G130" s="1" t="str">
        <f>IFERROR(__xludf.DUMMYFUNCTION("split(E130,"" "")"),"Palestine**")</f>
        <v>Palestine**</v>
      </c>
      <c r="H130" s="1" t="str">
        <f>IFERROR(__xludf.DUMMYFUNCTION("""COMPUTED_VALUE"""),"(PS)")</f>
        <v>(PS)</v>
      </c>
      <c r="I130" s="1" t="str">
        <f>vlookup(G130,'All Countries'!$A$1:$B$40,2,false)</f>
        <v>#N/A</v>
      </c>
    </row>
    <row r="131">
      <c r="A131" s="13" t="s">
        <v>663</v>
      </c>
      <c r="B131" s="13" t="s">
        <v>664</v>
      </c>
      <c r="C131" s="13"/>
      <c r="D131" s="13" t="s">
        <v>665</v>
      </c>
      <c r="E131" s="13" t="s">
        <v>660</v>
      </c>
      <c r="F131" s="13" t="s">
        <v>277</v>
      </c>
      <c r="G131" s="1" t="str">
        <f>IFERROR(__xludf.DUMMYFUNCTION("split(E131,"" "")"),"Palestine**")</f>
        <v>Palestine**</v>
      </c>
      <c r="H131" s="1" t="str">
        <f>IFERROR(__xludf.DUMMYFUNCTION("""COMPUTED_VALUE"""),"(PS)")</f>
        <v>(PS)</v>
      </c>
      <c r="I131" s="1" t="str">
        <f>vlookup(G131,'All Countries'!$A$1:$B$40,2,false)</f>
        <v>#N/A</v>
      </c>
    </row>
    <row r="132">
      <c r="A132" s="13" t="s">
        <v>666</v>
      </c>
      <c r="B132" s="13" t="s">
        <v>667</v>
      </c>
      <c r="C132" s="13"/>
      <c r="D132" s="13" t="s">
        <v>156</v>
      </c>
      <c r="E132" s="13" t="s">
        <v>668</v>
      </c>
      <c r="F132" s="13" t="s">
        <v>287</v>
      </c>
      <c r="G132" s="1" t="str">
        <f>IFERROR(__xludf.DUMMYFUNCTION("split(E132,"" "")"),"Poland")</f>
        <v>Poland</v>
      </c>
      <c r="H132" s="1" t="str">
        <f>IFERROR(__xludf.DUMMYFUNCTION("""COMPUTED_VALUE"""),"(PL)")</f>
        <v>(PL)</v>
      </c>
      <c r="I132" s="1" t="str">
        <f>vlookup(G132,'All Countries'!$A$1:$B$40,2,false)</f>
        <v>Poland</v>
      </c>
    </row>
    <row r="133">
      <c r="A133" s="13" t="s">
        <v>669</v>
      </c>
      <c r="B133" s="13" t="s">
        <v>670</v>
      </c>
      <c r="C133" s="13"/>
      <c r="D133" s="13" t="s">
        <v>671</v>
      </c>
      <c r="E133" s="13" t="s">
        <v>668</v>
      </c>
      <c r="F133" s="13" t="s">
        <v>277</v>
      </c>
      <c r="G133" s="1" t="str">
        <f>IFERROR(__xludf.DUMMYFUNCTION("split(E133,"" "")"),"Poland")</f>
        <v>Poland</v>
      </c>
      <c r="H133" s="1" t="str">
        <f>IFERROR(__xludf.DUMMYFUNCTION("""COMPUTED_VALUE"""),"(PL)")</f>
        <v>(PL)</v>
      </c>
      <c r="I133" s="1" t="str">
        <f>vlookup(G133,'All Countries'!$A$1:$B$40,2,false)</f>
        <v>Poland</v>
      </c>
    </row>
    <row r="134">
      <c r="A134" s="13" t="s">
        <v>537</v>
      </c>
      <c r="B134" s="13" t="s">
        <v>672</v>
      </c>
      <c r="C134" s="13"/>
      <c r="D134" s="13" t="s">
        <v>673</v>
      </c>
      <c r="E134" s="13" t="s">
        <v>668</v>
      </c>
      <c r="F134" s="13" t="s">
        <v>287</v>
      </c>
      <c r="G134" s="1" t="str">
        <f>IFERROR(__xludf.DUMMYFUNCTION("split(E134,"" "")"),"Poland")</f>
        <v>Poland</v>
      </c>
      <c r="H134" s="1" t="str">
        <f>IFERROR(__xludf.DUMMYFUNCTION("""COMPUTED_VALUE"""),"(PL)")</f>
        <v>(PL)</v>
      </c>
      <c r="I134" s="1" t="str">
        <f>vlookup(G134,'All Countries'!$A$1:$B$40,2,false)</f>
        <v>Poland</v>
      </c>
    </row>
    <row r="135">
      <c r="A135" s="13" t="s">
        <v>674</v>
      </c>
      <c r="B135" s="13" t="s">
        <v>675</v>
      </c>
      <c r="C135" s="13"/>
      <c r="D135" s="13" t="s">
        <v>152</v>
      </c>
      <c r="E135" s="13" t="s">
        <v>668</v>
      </c>
      <c r="F135" s="13" t="s">
        <v>277</v>
      </c>
      <c r="G135" s="1" t="str">
        <f>IFERROR(__xludf.DUMMYFUNCTION("split(E135,"" "")"),"Poland")</f>
        <v>Poland</v>
      </c>
      <c r="H135" s="1" t="str">
        <f>IFERROR(__xludf.DUMMYFUNCTION("""COMPUTED_VALUE"""),"(PL)")</f>
        <v>(PL)</v>
      </c>
      <c r="I135" s="1" t="str">
        <f>vlookup(G135,'All Countries'!$A$1:$B$40,2,false)</f>
        <v>Poland</v>
      </c>
    </row>
    <row r="136">
      <c r="A136" s="13" t="s">
        <v>676</v>
      </c>
      <c r="B136" s="13" t="s">
        <v>677</v>
      </c>
      <c r="C136" s="13"/>
      <c r="D136" s="13" t="s">
        <v>678</v>
      </c>
      <c r="E136" s="13" t="s">
        <v>679</v>
      </c>
      <c r="F136" s="13" t="s">
        <v>287</v>
      </c>
      <c r="G136" s="1" t="str">
        <f>IFERROR(__xludf.DUMMYFUNCTION("split(E136,"" "")"),"Portugal")</f>
        <v>Portugal</v>
      </c>
      <c r="H136" s="1" t="str">
        <f>IFERROR(__xludf.DUMMYFUNCTION("""COMPUTED_VALUE"""),"(PT)")</f>
        <v>(PT)</v>
      </c>
      <c r="I136" s="1" t="str">
        <f>vlookup(G136,'All Countries'!$A$1:$B$40,2,false)</f>
        <v>Portugal</v>
      </c>
    </row>
    <row r="137">
      <c r="A137" s="13" t="s">
        <v>680</v>
      </c>
      <c r="B137" s="13" t="s">
        <v>681</v>
      </c>
      <c r="C137" s="13"/>
      <c r="D137" s="13" t="s">
        <v>682</v>
      </c>
      <c r="E137" s="13" t="s">
        <v>679</v>
      </c>
      <c r="F137" s="13" t="s">
        <v>287</v>
      </c>
      <c r="G137" s="1" t="str">
        <f>IFERROR(__xludf.DUMMYFUNCTION("split(E137,"" "")"),"Portugal")</f>
        <v>Portugal</v>
      </c>
      <c r="H137" s="1" t="str">
        <f>IFERROR(__xludf.DUMMYFUNCTION("""COMPUTED_VALUE"""),"(PT)")</f>
        <v>(PT)</v>
      </c>
      <c r="I137" s="1" t="str">
        <f>vlookup(G137,'All Countries'!$A$1:$B$40,2,false)</f>
        <v>Portugal</v>
      </c>
    </row>
    <row r="138">
      <c r="A138" s="13" t="s">
        <v>683</v>
      </c>
      <c r="B138" s="13" t="s">
        <v>684</v>
      </c>
      <c r="C138" s="13"/>
      <c r="D138" s="13" t="s">
        <v>685</v>
      </c>
      <c r="E138" s="13" t="s">
        <v>679</v>
      </c>
      <c r="F138" s="13" t="s">
        <v>277</v>
      </c>
      <c r="G138" s="1" t="str">
        <f>IFERROR(__xludf.DUMMYFUNCTION("split(E138,"" "")"),"Portugal")</f>
        <v>Portugal</v>
      </c>
      <c r="H138" s="1" t="str">
        <f>IFERROR(__xludf.DUMMYFUNCTION("""COMPUTED_VALUE"""),"(PT)")</f>
        <v>(PT)</v>
      </c>
      <c r="I138" s="1" t="str">
        <f>vlookup(G138,'All Countries'!$A$1:$B$40,2,false)</f>
        <v>Portugal</v>
      </c>
    </row>
    <row r="139">
      <c r="A139" s="13" t="s">
        <v>686</v>
      </c>
      <c r="B139" s="13" t="s">
        <v>687</v>
      </c>
      <c r="C139" s="13"/>
      <c r="D139" s="13" t="s">
        <v>160</v>
      </c>
      <c r="E139" s="13" t="s">
        <v>679</v>
      </c>
      <c r="F139" s="13" t="s">
        <v>277</v>
      </c>
      <c r="G139" s="1" t="str">
        <f>IFERROR(__xludf.DUMMYFUNCTION("split(E139,"" "")"),"Portugal")</f>
        <v>Portugal</v>
      </c>
      <c r="H139" s="1" t="str">
        <f>IFERROR(__xludf.DUMMYFUNCTION("""COMPUTED_VALUE"""),"(PT)")</f>
        <v>(PT)</v>
      </c>
      <c r="I139" s="1" t="str">
        <f>vlookup(G139,'All Countries'!$A$1:$B$40,2,false)</f>
        <v>Portugal</v>
      </c>
    </row>
    <row r="140">
      <c r="A140" s="13" t="s">
        <v>688</v>
      </c>
      <c r="B140" s="13" t="s">
        <v>689</v>
      </c>
      <c r="C140" s="13"/>
      <c r="D140" s="13" t="s">
        <v>690</v>
      </c>
      <c r="E140" s="13" t="s">
        <v>679</v>
      </c>
      <c r="F140" s="13" t="s">
        <v>277</v>
      </c>
      <c r="G140" s="1" t="str">
        <f>IFERROR(__xludf.DUMMYFUNCTION("split(E140,"" "")"),"Portugal")</f>
        <v>Portugal</v>
      </c>
      <c r="H140" s="1" t="str">
        <f>IFERROR(__xludf.DUMMYFUNCTION("""COMPUTED_VALUE"""),"(PT)")</f>
        <v>(PT)</v>
      </c>
      <c r="I140" s="1" t="str">
        <f>vlookup(G140,'All Countries'!$A$1:$B$40,2,false)</f>
        <v>Portugal</v>
      </c>
    </row>
    <row r="141">
      <c r="A141" s="13" t="s">
        <v>691</v>
      </c>
      <c r="B141" s="13" t="s">
        <v>692</v>
      </c>
      <c r="C141" s="13"/>
      <c r="D141" s="13" t="s">
        <v>693</v>
      </c>
      <c r="E141" s="13" t="s">
        <v>679</v>
      </c>
      <c r="F141" s="13" t="s">
        <v>277</v>
      </c>
      <c r="G141" s="1" t="str">
        <f>IFERROR(__xludf.DUMMYFUNCTION("split(E141,"" "")"),"Portugal")</f>
        <v>Portugal</v>
      </c>
      <c r="H141" s="1" t="str">
        <f>IFERROR(__xludf.DUMMYFUNCTION("""COMPUTED_VALUE"""),"(PT)")</f>
        <v>(PT)</v>
      </c>
      <c r="I141" s="1" t="str">
        <f>vlookup(G141,'All Countries'!$A$1:$B$40,2,false)</f>
        <v>Portugal</v>
      </c>
    </row>
    <row r="142">
      <c r="A142" s="13" t="s">
        <v>694</v>
      </c>
      <c r="B142" s="13" t="s">
        <v>695</v>
      </c>
      <c r="C142" s="13"/>
      <c r="D142" s="15" t="s">
        <v>696</v>
      </c>
      <c r="E142" s="13" t="s">
        <v>697</v>
      </c>
      <c r="F142" s="13" t="s">
        <v>277</v>
      </c>
      <c r="G142" s="1" t="str">
        <f>IFERROR(__xludf.DUMMYFUNCTION("split(E142,"" "")"),"Romania")</f>
        <v>Romania</v>
      </c>
      <c r="H142" s="1" t="str">
        <f>IFERROR(__xludf.DUMMYFUNCTION("""COMPUTED_VALUE"""),"(RO)")</f>
        <v>(RO)</v>
      </c>
      <c r="I142" s="1" t="str">
        <f>vlookup(G142,'All Countries'!$A$1:$B$40,2,false)</f>
        <v>Romania</v>
      </c>
    </row>
    <row r="143">
      <c r="A143" s="13" t="s">
        <v>698</v>
      </c>
      <c r="B143" s="13" t="s">
        <v>699</v>
      </c>
      <c r="C143" s="13"/>
      <c r="D143" s="13" t="s">
        <v>700</v>
      </c>
      <c r="E143" s="13" t="s">
        <v>697</v>
      </c>
      <c r="F143" s="13" t="s">
        <v>277</v>
      </c>
      <c r="G143" s="1" t="str">
        <f>IFERROR(__xludf.DUMMYFUNCTION("split(E143,"" "")"),"Romania")</f>
        <v>Romania</v>
      </c>
      <c r="H143" s="1" t="str">
        <f>IFERROR(__xludf.DUMMYFUNCTION("""COMPUTED_VALUE"""),"(RO)")</f>
        <v>(RO)</v>
      </c>
      <c r="I143" s="1" t="str">
        <f>vlookup(G143,'All Countries'!$A$1:$B$40,2,false)</f>
        <v>Romania</v>
      </c>
    </row>
    <row r="144">
      <c r="A144" s="13" t="s">
        <v>701</v>
      </c>
      <c r="B144" s="13" t="s">
        <v>702</v>
      </c>
      <c r="C144" s="13"/>
      <c r="D144" s="13" t="s">
        <v>703</v>
      </c>
      <c r="E144" s="13" t="s">
        <v>697</v>
      </c>
      <c r="F144" s="13" t="s">
        <v>277</v>
      </c>
      <c r="G144" s="1" t="str">
        <f>IFERROR(__xludf.DUMMYFUNCTION("split(E144,"" "")"),"Romania")</f>
        <v>Romania</v>
      </c>
      <c r="H144" s="1" t="str">
        <f>IFERROR(__xludf.DUMMYFUNCTION("""COMPUTED_VALUE"""),"(RO)")</f>
        <v>(RO)</v>
      </c>
      <c r="I144" s="1" t="str">
        <f>vlookup(G144,'All Countries'!$A$1:$B$40,2,false)</f>
        <v>Romania</v>
      </c>
    </row>
    <row r="145">
      <c r="A145" s="13" t="s">
        <v>704</v>
      </c>
      <c r="B145" s="13" t="s">
        <v>705</v>
      </c>
      <c r="C145" s="13"/>
      <c r="D145" s="13" t="s">
        <v>183</v>
      </c>
      <c r="E145" s="13" t="s">
        <v>697</v>
      </c>
      <c r="F145" s="13" t="s">
        <v>287</v>
      </c>
      <c r="G145" s="1" t="str">
        <f>IFERROR(__xludf.DUMMYFUNCTION("split(E145,"" "")"),"Romania")</f>
        <v>Romania</v>
      </c>
      <c r="H145" s="1" t="str">
        <f>IFERROR(__xludf.DUMMYFUNCTION("""COMPUTED_VALUE"""),"(RO)")</f>
        <v>(RO)</v>
      </c>
      <c r="I145" s="1" t="str">
        <f>vlookup(G145,'All Countries'!$A$1:$B$40,2,false)</f>
        <v>Romania</v>
      </c>
    </row>
    <row r="146">
      <c r="A146" s="13" t="s">
        <v>706</v>
      </c>
      <c r="B146" s="13" t="s">
        <v>707</v>
      </c>
      <c r="C146" s="13"/>
      <c r="D146" s="13" t="s">
        <v>708</v>
      </c>
      <c r="E146" s="13" t="s">
        <v>697</v>
      </c>
      <c r="F146" s="13" t="s">
        <v>277</v>
      </c>
      <c r="G146" s="1" t="str">
        <f>IFERROR(__xludf.DUMMYFUNCTION("split(E146,"" "")"),"Romania")</f>
        <v>Romania</v>
      </c>
      <c r="H146" s="1" t="str">
        <f>IFERROR(__xludf.DUMMYFUNCTION("""COMPUTED_VALUE"""),"(RO)")</f>
        <v>(RO)</v>
      </c>
      <c r="I146" s="1" t="str">
        <f>vlookup(G146,'All Countries'!$A$1:$B$40,2,false)</f>
        <v>Romania</v>
      </c>
    </row>
    <row r="147">
      <c r="A147" s="13" t="s">
        <v>709</v>
      </c>
      <c r="B147" s="13" t="s">
        <v>710</v>
      </c>
      <c r="C147" s="13"/>
      <c r="D147" s="13" t="s">
        <v>185</v>
      </c>
      <c r="E147" s="13" t="s">
        <v>697</v>
      </c>
      <c r="F147" s="13" t="s">
        <v>277</v>
      </c>
      <c r="G147" s="1" t="str">
        <f>IFERROR(__xludf.DUMMYFUNCTION("split(E147,"" "")"),"Romania")</f>
        <v>Romania</v>
      </c>
      <c r="H147" s="1" t="str">
        <f>IFERROR(__xludf.DUMMYFUNCTION("""COMPUTED_VALUE"""),"(RO)")</f>
        <v>(RO)</v>
      </c>
      <c r="I147" s="1" t="str">
        <f>vlookup(G147,'All Countries'!$A$1:$B$40,2,false)</f>
        <v>Romania</v>
      </c>
    </row>
    <row r="148">
      <c r="A148" s="13" t="s">
        <v>711</v>
      </c>
      <c r="B148" s="13" t="s">
        <v>712</v>
      </c>
      <c r="C148" s="13"/>
      <c r="D148" s="13" t="s">
        <v>177</v>
      </c>
      <c r="E148" s="13" t="s">
        <v>697</v>
      </c>
      <c r="F148" s="13" t="s">
        <v>287</v>
      </c>
      <c r="G148" s="1" t="str">
        <f>IFERROR(__xludf.DUMMYFUNCTION("split(E148,"" "")"),"Romania")</f>
        <v>Romania</v>
      </c>
      <c r="H148" s="1" t="str">
        <f>IFERROR(__xludf.DUMMYFUNCTION("""COMPUTED_VALUE"""),"(RO)")</f>
        <v>(RO)</v>
      </c>
      <c r="I148" s="1" t="str">
        <f>vlookup(G148,'All Countries'!$A$1:$B$40,2,false)</f>
        <v>Romania</v>
      </c>
    </row>
    <row r="149">
      <c r="A149" s="13" t="s">
        <v>713</v>
      </c>
      <c r="B149" s="13" t="s">
        <v>714</v>
      </c>
      <c r="C149" s="13"/>
      <c r="D149" s="13" t="s">
        <v>168</v>
      </c>
      <c r="E149" s="13" t="s">
        <v>697</v>
      </c>
      <c r="F149" s="13" t="s">
        <v>277</v>
      </c>
      <c r="G149" s="1" t="str">
        <f>IFERROR(__xludf.DUMMYFUNCTION("split(E149,"" "")"),"Romania")</f>
        <v>Romania</v>
      </c>
      <c r="H149" s="1" t="str">
        <f>IFERROR(__xludf.DUMMYFUNCTION("""COMPUTED_VALUE"""),"(RO)")</f>
        <v>(RO)</v>
      </c>
      <c r="I149" s="1" t="str">
        <f>vlookup(G149,'All Countries'!$A$1:$B$40,2,false)</f>
        <v>Romania</v>
      </c>
    </row>
    <row r="150">
      <c r="A150" s="13" t="s">
        <v>600</v>
      </c>
      <c r="B150" s="13" t="s">
        <v>715</v>
      </c>
      <c r="C150" s="13"/>
      <c r="D150" s="15" t="s">
        <v>716</v>
      </c>
      <c r="E150" s="13" t="s">
        <v>697</v>
      </c>
      <c r="F150" s="13" t="s">
        <v>277</v>
      </c>
      <c r="G150" s="1" t="str">
        <f>IFERROR(__xludf.DUMMYFUNCTION("split(E150,"" "")"),"Romania")</f>
        <v>Romania</v>
      </c>
      <c r="H150" s="1" t="str">
        <f>IFERROR(__xludf.DUMMYFUNCTION("""COMPUTED_VALUE"""),"(RO)")</f>
        <v>(RO)</v>
      </c>
      <c r="I150" s="1" t="str">
        <f>vlookup(G150,'All Countries'!$A$1:$B$40,2,false)</f>
        <v>Romania</v>
      </c>
    </row>
    <row r="151">
      <c r="A151" s="13" t="s">
        <v>717</v>
      </c>
      <c r="B151" s="13" t="s">
        <v>718</v>
      </c>
      <c r="C151" s="13"/>
      <c r="D151" s="13" t="s">
        <v>173</v>
      </c>
      <c r="E151" s="13" t="s">
        <v>697</v>
      </c>
      <c r="F151" s="13" t="s">
        <v>277</v>
      </c>
      <c r="G151" s="1" t="str">
        <f>IFERROR(__xludf.DUMMYFUNCTION("split(E151,"" "")"),"Romania")</f>
        <v>Romania</v>
      </c>
      <c r="H151" s="1" t="str">
        <f>IFERROR(__xludf.DUMMYFUNCTION("""COMPUTED_VALUE"""),"(RO)")</f>
        <v>(RO)</v>
      </c>
      <c r="I151" s="1" t="str">
        <f>vlookup(G151,'All Countries'!$A$1:$B$40,2,false)</f>
        <v>Romania</v>
      </c>
    </row>
    <row r="152">
      <c r="A152" s="13" t="s">
        <v>719</v>
      </c>
      <c r="B152" s="13" t="s">
        <v>720</v>
      </c>
      <c r="C152" s="13"/>
      <c r="D152" s="13" t="s">
        <v>721</v>
      </c>
      <c r="E152" s="13" t="s">
        <v>722</v>
      </c>
      <c r="F152" s="13" t="s">
        <v>277</v>
      </c>
      <c r="G152" s="1" t="str">
        <f>IFERROR(__xludf.DUMMYFUNCTION("split(E152,"" "")"),"Serbia")</f>
        <v>Serbia</v>
      </c>
      <c r="H152" s="1" t="str">
        <f>IFERROR(__xludf.DUMMYFUNCTION("""COMPUTED_VALUE"""),"(RS)")</f>
        <v>(RS)</v>
      </c>
      <c r="I152" s="1" t="str">
        <f>vlookup(G152,'All Countries'!$A$1:$B$40,2,false)</f>
        <v>Serbia</v>
      </c>
    </row>
    <row r="153">
      <c r="A153" s="13" t="s">
        <v>723</v>
      </c>
      <c r="B153" s="13" t="s">
        <v>724</v>
      </c>
      <c r="C153" s="13"/>
      <c r="D153" s="17" t="s">
        <v>725</v>
      </c>
      <c r="E153" s="13" t="s">
        <v>722</v>
      </c>
      <c r="F153" s="13" t="s">
        <v>287</v>
      </c>
      <c r="G153" s="1" t="str">
        <f>IFERROR(__xludf.DUMMYFUNCTION("split(E153,"" "")"),"Serbia")</f>
        <v>Serbia</v>
      </c>
      <c r="H153" s="1" t="str">
        <f>IFERROR(__xludf.DUMMYFUNCTION("""COMPUTED_VALUE"""),"(RS)")</f>
        <v>(RS)</v>
      </c>
      <c r="I153" s="1" t="str">
        <f>vlookup(G153,'All Countries'!$A$1:$B$40,2,false)</f>
        <v>Serbia</v>
      </c>
    </row>
    <row r="154">
      <c r="A154" s="13" t="s">
        <v>726</v>
      </c>
      <c r="B154" s="13" t="s">
        <v>727</v>
      </c>
      <c r="C154" s="13"/>
      <c r="D154" s="13" t="s">
        <v>191</v>
      </c>
      <c r="E154" s="13" t="s">
        <v>722</v>
      </c>
      <c r="F154" s="13" t="s">
        <v>277</v>
      </c>
      <c r="G154" s="1" t="str">
        <f>IFERROR(__xludf.DUMMYFUNCTION("split(E154,"" "")"),"Serbia")</f>
        <v>Serbia</v>
      </c>
      <c r="H154" s="1" t="str">
        <f>IFERROR(__xludf.DUMMYFUNCTION("""COMPUTED_VALUE"""),"(RS)")</f>
        <v>(RS)</v>
      </c>
      <c r="I154" s="1" t="str">
        <f>vlookup(G154,'All Countries'!$A$1:$B$40,2,false)</f>
        <v>Serbia</v>
      </c>
    </row>
    <row r="155">
      <c r="A155" s="13" t="s">
        <v>728</v>
      </c>
      <c r="B155" s="13" t="s">
        <v>729</v>
      </c>
      <c r="C155" s="13"/>
      <c r="D155" s="13" t="s">
        <v>730</v>
      </c>
      <c r="E155" s="13" t="s">
        <v>722</v>
      </c>
      <c r="F155" s="13" t="s">
        <v>277</v>
      </c>
      <c r="G155" s="1" t="str">
        <f>IFERROR(__xludf.DUMMYFUNCTION("split(E155,"" "")"),"Serbia")</f>
        <v>Serbia</v>
      </c>
      <c r="H155" s="1" t="str">
        <f>IFERROR(__xludf.DUMMYFUNCTION("""COMPUTED_VALUE"""),"(RS)")</f>
        <v>(RS)</v>
      </c>
      <c r="I155" s="1" t="str">
        <f>vlookup(G155,'All Countries'!$A$1:$B$40,2,false)</f>
        <v>Serbia</v>
      </c>
    </row>
    <row r="156">
      <c r="A156" s="13" t="s">
        <v>731</v>
      </c>
      <c r="B156" s="13" t="s">
        <v>732</v>
      </c>
      <c r="C156" s="13"/>
      <c r="D156" s="13" t="s">
        <v>217</v>
      </c>
      <c r="E156" s="13" t="s">
        <v>722</v>
      </c>
      <c r="F156" s="13" t="s">
        <v>287</v>
      </c>
      <c r="G156" s="1" t="str">
        <f>IFERROR(__xludf.DUMMYFUNCTION("split(E156,"" "")"),"Serbia")</f>
        <v>Serbia</v>
      </c>
      <c r="H156" s="1" t="str">
        <f>IFERROR(__xludf.DUMMYFUNCTION("""COMPUTED_VALUE"""),"(RS)")</f>
        <v>(RS)</v>
      </c>
      <c r="I156" s="1" t="str">
        <f>vlookup(G156,'All Countries'!$A$1:$B$40,2,false)</f>
        <v>Serbia</v>
      </c>
    </row>
    <row r="157">
      <c r="A157" s="13" t="s">
        <v>733</v>
      </c>
      <c r="B157" s="13" t="s">
        <v>734</v>
      </c>
      <c r="C157" s="13"/>
      <c r="D157" s="13" t="s">
        <v>85</v>
      </c>
      <c r="E157" s="13" t="s">
        <v>735</v>
      </c>
      <c r="F157" s="13" t="s">
        <v>277</v>
      </c>
      <c r="G157" s="1" t="str">
        <f>IFERROR(__xludf.DUMMYFUNCTION("split(E157,"" "")"),"Singapore")</f>
        <v>Singapore</v>
      </c>
      <c r="H157" s="1" t="str">
        <f>IFERROR(__xludf.DUMMYFUNCTION("""COMPUTED_VALUE"""),"(SG)")</f>
        <v>(SG)</v>
      </c>
      <c r="I157" s="1" t="str">
        <f>vlookup(G157,'All Countries'!$A$1:$B$40,2,false)</f>
        <v>#N/A</v>
      </c>
    </row>
    <row r="158">
      <c r="A158" s="13" t="s">
        <v>736</v>
      </c>
      <c r="B158" s="13" t="s">
        <v>737</v>
      </c>
      <c r="C158" s="13"/>
      <c r="D158" s="13" t="s">
        <v>738</v>
      </c>
      <c r="E158" s="13" t="s">
        <v>735</v>
      </c>
      <c r="F158" s="13" t="s">
        <v>277</v>
      </c>
      <c r="G158" s="1" t="str">
        <f>IFERROR(__xludf.DUMMYFUNCTION("split(E158,"" "")"),"Singapore")</f>
        <v>Singapore</v>
      </c>
      <c r="H158" s="1" t="str">
        <f>IFERROR(__xludf.DUMMYFUNCTION("""COMPUTED_VALUE"""),"(SG)")</f>
        <v>(SG)</v>
      </c>
      <c r="I158" s="1" t="str">
        <f>vlookup(G158,'All Countries'!$A$1:$B$40,2,false)</f>
        <v>#N/A</v>
      </c>
    </row>
    <row r="159">
      <c r="A159" s="13" t="s">
        <v>628</v>
      </c>
      <c r="B159" s="13" t="s">
        <v>739</v>
      </c>
      <c r="C159" s="13"/>
      <c r="D159" s="13" t="s">
        <v>740</v>
      </c>
      <c r="E159" s="13" t="s">
        <v>741</v>
      </c>
      <c r="F159" s="13" t="s">
        <v>277</v>
      </c>
      <c r="G159" s="1" t="str">
        <f>IFERROR(__xludf.DUMMYFUNCTION("split(E159,"" "")"),"Slovakia")</f>
        <v>Slovakia</v>
      </c>
      <c r="H159" s="1" t="str">
        <f>IFERROR(__xludf.DUMMYFUNCTION("""COMPUTED_VALUE"""),"(SK)")</f>
        <v>(SK)</v>
      </c>
      <c r="I159" s="1" t="str">
        <f>vlookup(G159,'All Countries'!$A$1:$B$40,2,false)</f>
        <v>#N/A</v>
      </c>
    </row>
    <row r="160">
      <c r="A160" s="13" t="s">
        <v>742</v>
      </c>
      <c r="B160" s="13" t="s">
        <v>743</v>
      </c>
      <c r="C160" s="13"/>
      <c r="D160" s="13" t="s">
        <v>744</v>
      </c>
      <c r="E160" s="13" t="s">
        <v>741</v>
      </c>
      <c r="F160" s="13" t="s">
        <v>287</v>
      </c>
      <c r="G160" s="1" t="str">
        <f>IFERROR(__xludf.DUMMYFUNCTION("split(E160,"" "")"),"Slovakia")</f>
        <v>Slovakia</v>
      </c>
      <c r="H160" s="1" t="str">
        <f>IFERROR(__xludf.DUMMYFUNCTION("""COMPUTED_VALUE"""),"(SK)")</f>
        <v>(SK)</v>
      </c>
      <c r="I160" s="1" t="str">
        <f>vlookup(G160,'All Countries'!$A$1:$B$40,2,false)</f>
        <v>#N/A</v>
      </c>
    </row>
    <row r="161">
      <c r="A161" s="13" t="s">
        <v>745</v>
      </c>
      <c r="B161" s="13" t="s">
        <v>746</v>
      </c>
      <c r="C161" s="13"/>
      <c r="D161" s="13" t="s">
        <v>747</v>
      </c>
      <c r="E161" s="13" t="s">
        <v>741</v>
      </c>
      <c r="F161" s="13" t="s">
        <v>287</v>
      </c>
      <c r="G161" s="1" t="str">
        <f>IFERROR(__xludf.DUMMYFUNCTION("split(E161,"" "")"),"Slovakia")</f>
        <v>Slovakia</v>
      </c>
      <c r="H161" s="1" t="str">
        <f>IFERROR(__xludf.DUMMYFUNCTION("""COMPUTED_VALUE"""),"(SK)")</f>
        <v>(SK)</v>
      </c>
      <c r="I161" s="1" t="str">
        <f>vlookup(G161,'All Countries'!$A$1:$B$40,2,false)</f>
        <v>#N/A</v>
      </c>
    </row>
    <row r="162">
      <c r="A162" s="13" t="s">
        <v>748</v>
      </c>
      <c r="B162" s="13" t="s">
        <v>749</v>
      </c>
      <c r="C162" s="13"/>
      <c r="D162" s="13" t="s">
        <v>750</v>
      </c>
      <c r="E162" s="13" t="s">
        <v>741</v>
      </c>
      <c r="F162" s="13" t="s">
        <v>277</v>
      </c>
      <c r="G162" s="1" t="str">
        <f>IFERROR(__xludf.DUMMYFUNCTION("split(E162,"" "")"),"Slovakia")</f>
        <v>Slovakia</v>
      </c>
      <c r="H162" s="1" t="str">
        <f>IFERROR(__xludf.DUMMYFUNCTION("""COMPUTED_VALUE"""),"(SK)")</f>
        <v>(SK)</v>
      </c>
      <c r="I162" s="1" t="str">
        <f>vlookup(G162,'All Countries'!$A$1:$B$40,2,false)</f>
        <v>#N/A</v>
      </c>
    </row>
    <row r="163">
      <c r="A163" s="13" t="s">
        <v>751</v>
      </c>
      <c r="B163" s="13" t="s">
        <v>752</v>
      </c>
      <c r="C163" s="13"/>
      <c r="D163" s="13" t="s">
        <v>753</v>
      </c>
      <c r="E163" s="13" t="s">
        <v>741</v>
      </c>
      <c r="F163" s="13" t="s">
        <v>277</v>
      </c>
      <c r="G163" s="1" t="str">
        <f>IFERROR(__xludf.DUMMYFUNCTION("split(E163,"" "")"),"Slovakia")</f>
        <v>Slovakia</v>
      </c>
      <c r="H163" s="1" t="str">
        <f>IFERROR(__xludf.DUMMYFUNCTION("""COMPUTED_VALUE"""),"(SK)")</f>
        <v>(SK)</v>
      </c>
      <c r="I163" s="1" t="str">
        <f>vlookup(G163,'All Countries'!$A$1:$B$40,2,false)</f>
        <v>#N/A</v>
      </c>
    </row>
    <row r="164">
      <c r="A164" s="13" t="s">
        <v>754</v>
      </c>
      <c r="B164" s="13" t="s">
        <v>755</v>
      </c>
      <c r="C164" s="13"/>
      <c r="D164" s="13" t="s">
        <v>756</v>
      </c>
      <c r="E164" s="13" t="s">
        <v>741</v>
      </c>
      <c r="F164" s="13" t="s">
        <v>277</v>
      </c>
      <c r="G164" s="1" t="str">
        <f>IFERROR(__xludf.DUMMYFUNCTION("split(E164,"" "")"),"Slovakia")</f>
        <v>Slovakia</v>
      </c>
      <c r="H164" s="1" t="str">
        <f>IFERROR(__xludf.DUMMYFUNCTION("""COMPUTED_VALUE"""),"(SK)")</f>
        <v>(SK)</v>
      </c>
      <c r="I164" s="1" t="str">
        <f>vlookup(G164,'All Countries'!$A$1:$B$40,2,false)</f>
        <v>#N/A</v>
      </c>
    </row>
    <row r="165">
      <c r="A165" s="13" t="s">
        <v>757</v>
      </c>
      <c r="B165" s="13" t="s">
        <v>758</v>
      </c>
      <c r="C165" s="13"/>
      <c r="D165" s="13" t="s">
        <v>195</v>
      </c>
      <c r="E165" s="13" t="s">
        <v>759</v>
      </c>
      <c r="F165" s="13" t="s">
        <v>287</v>
      </c>
      <c r="G165" s="1" t="str">
        <f>IFERROR(__xludf.DUMMYFUNCTION("split(E165,"" "")"),"Slovenia")</f>
        <v>Slovenia</v>
      </c>
      <c r="H165" s="1" t="str">
        <f>IFERROR(__xludf.DUMMYFUNCTION("""COMPUTED_VALUE"""),"(SI)")</f>
        <v>(SI)</v>
      </c>
      <c r="I165" s="1" t="str">
        <f>vlookup(G165,'All Countries'!$A$1:$B$40,2,false)</f>
        <v>Slovenia</v>
      </c>
    </row>
    <row r="166">
      <c r="A166" s="13" t="s">
        <v>760</v>
      </c>
      <c r="B166" s="13" t="s">
        <v>761</v>
      </c>
      <c r="C166" s="13"/>
      <c r="D166" s="13" t="s">
        <v>762</v>
      </c>
      <c r="E166" s="13" t="s">
        <v>759</v>
      </c>
      <c r="F166" s="13" t="s">
        <v>277</v>
      </c>
      <c r="G166" s="1" t="str">
        <f>IFERROR(__xludf.DUMMYFUNCTION("split(E166,"" "")"),"Slovenia")</f>
        <v>Slovenia</v>
      </c>
      <c r="H166" s="1" t="str">
        <f>IFERROR(__xludf.DUMMYFUNCTION("""COMPUTED_VALUE"""),"(SI)")</f>
        <v>(SI)</v>
      </c>
      <c r="I166" s="1" t="str">
        <f>vlookup(G166,'All Countries'!$A$1:$B$40,2,false)</f>
        <v>Slovenia</v>
      </c>
    </row>
    <row r="167">
      <c r="A167" s="13" t="s">
        <v>323</v>
      </c>
      <c r="B167" s="13" t="s">
        <v>763</v>
      </c>
      <c r="C167" s="13"/>
      <c r="D167" s="13" t="s">
        <v>764</v>
      </c>
      <c r="E167" s="13" t="s">
        <v>759</v>
      </c>
      <c r="F167" s="13" t="s">
        <v>277</v>
      </c>
      <c r="G167" s="1" t="str">
        <f>IFERROR(__xludf.DUMMYFUNCTION("split(E167,"" "")"),"Slovenia")</f>
        <v>Slovenia</v>
      </c>
      <c r="H167" s="1" t="str">
        <f>IFERROR(__xludf.DUMMYFUNCTION("""COMPUTED_VALUE"""),"(SI)")</f>
        <v>(SI)</v>
      </c>
      <c r="I167" s="1" t="str">
        <f>vlookup(G167,'All Countries'!$A$1:$B$40,2,false)</f>
        <v>Slovenia</v>
      </c>
    </row>
    <row r="168">
      <c r="A168" s="13" t="s">
        <v>765</v>
      </c>
      <c r="B168" s="13" t="s">
        <v>766</v>
      </c>
      <c r="C168" s="13"/>
      <c r="D168" s="13" t="s">
        <v>199</v>
      </c>
      <c r="E168" s="13" t="s">
        <v>759</v>
      </c>
      <c r="F168" s="13" t="s">
        <v>277</v>
      </c>
      <c r="G168" s="1" t="str">
        <f>IFERROR(__xludf.DUMMYFUNCTION("split(E168,"" "")"),"Slovenia")</f>
        <v>Slovenia</v>
      </c>
      <c r="H168" s="1" t="str">
        <f>IFERROR(__xludf.DUMMYFUNCTION("""COMPUTED_VALUE"""),"(SI)")</f>
        <v>(SI)</v>
      </c>
      <c r="I168" s="1" t="str">
        <f>vlookup(G168,'All Countries'!$A$1:$B$40,2,false)</f>
        <v>Slovenia</v>
      </c>
    </row>
    <row r="169">
      <c r="A169" s="13" t="s">
        <v>767</v>
      </c>
      <c r="B169" s="13" t="s">
        <v>768</v>
      </c>
      <c r="C169" s="13"/>
      <c r="D169" s="13" t="s">
        <v>769</v>
      </c>
      <c r="E169" s="13" t="s">
        <v>770</v>
      </c>
      <c r="F169" s="13" t="s">
        <v>277</v>
      </c>
      <c r="G169" s="1" t="str">
        <f>IFERROR(__xludf.DUMMYFUNCTION("split(E169,"" "")"),"Spain")</f>
        <v>Spain</v>
      </c>
      <c r="H169" s="1" t="str">
        <f>IFERROR(__xludf.DUMMYFUNCTION("""COMPUTED_VALUE"""),"(ES)")</f>
        <v>(ES)</v>
      </c>
      <c r="I169" s="1" t="str">
        <f>vlookup(G169,'All Countries'!$A$1:$B$40,2,false)</f>
        <v>Spain</v>
      </c>
    </row>
    <row r="170">
      <c r="A170" s="13" t="s">
        <v>771</v>
      </c>
      <c r="B170" s="15" t="s">
        <v>772</v>
      </c>
      <c r="C170" s="13"/>
      <c r="D170" s="13" t="s">
        <v>773</v>
      </c>
      <c r="E170" s="13" t="s">
        <v>770</v>
      </c>
      <c r="F170" s="13" t="s">
        <v>277</v>
      </c>
      <c r="G170" s="1" t="str">
        <f>IFERROR(__xludf.DUMMYFUNCTION("split(E170,"" "")"),"Spain")</f>
        <v>Spain</v>
      </c>
      <c r="H170" s="1" t="str">
        <f>IFERROR(__xludf.DUMMYFUNCTION("""COMPUTED_VALUE"""),"(ES)")</f>
        <v>(ES)</v>
      </c>
      <c r="I170" s="1" t="str">
        <f>vlookup(G170,'All Countries'!$A$1:$B$40,2,false)</f>
        <v>Spain</v>
      </c>
    </row>
    <row r="171">
      <c r="A171" s="13" t="s">
        <v>774</v>
      </c>
      <c r="B171" s="13" t="s">
        <v>775</v>
      </c>
      <c r="C171" s="13"/>
      <c r="D171" s="13" t="s">
        <v>776</v>
      </c>
      <c r="E171" s="13" t="s">
        <v>770</v>
      </c>
      <c r="F171" s="13" t="s">
        <v>277</v>
      </c>
      <c r="G171" s="1" t="str">
        <f>IFERROR(__xludf.DUMMYFUNCTION("split(E171,"" "")"),"Spain")</f>
        <v>Spain</v>
      </c>
      <c r="H171" s="1" t="str">
        <f>IFERROR(__xludf.DUMMYFUNCTION("""COMPUTED_VALUE"""),"(ES)")</f>
        <v>(ES)</v>
      </c>
      <c r="I171" s="1" t="str">
        <f>vlookup(G171,'All Countries'!$A$1:$B$40,2,false)</f>
        <v>Spain</v>
      </c>
    </row>
    <row r="172">
      <c r="A172" s="13" t="s">
        <v>777</v>
      </c>
      <c r="B172" s="13" t="s">
        <v>778</v>
      </c>
      <c r="C172" s="13"/>
      <c r="D172" s="13" t="s">
        <v>201</v>
      </c>
      <c r="E172" s="13" t="s">
        <v>770</v>
      </c>
      <c r="F172" s="13" t="s">
        <v>287</v>
      </c>
      <c r="G172" s="1" t="str">
        <f>IFERROR(__xludf.DUMMYFUNCTION("split(E172,"" "")"),"Spain")</f>
        <v>Spain</v>
      </c>
      <c r="H172" s="1" t="str">
        <f>IFERROR(__xludf.DUMMYFUNCTION("""COMPUTED_VALUE"""),"(ES)")</f>
        <v>(ES)</v>
      </c>
      <c r="I172" s="1" t="str">
        <f>vlookup(G172,'All Countries'!$A$1:$B$40,2,false)</f>
        <v>Spain</v>
      </c>
    </row>
    <row r="173">
      <c r="A173" s="13" t="s">
        <v>779</v>
      </c>
      <c r="B173" s="13" t="s">
        <v>780</v>
      </c>
      <c r="C173" s="13"/>
      <c r="D173" s="13" t="s">
        <v>781</v>
      </c>
      <c r="E173" s="13" t="s">
        <v>770</v>
      </c>
      <c r="F173" s="13" t="s">
        <v>287</v>
      </c>
      <c r="G173" s="1" t="str">
        <f>IFERROR(__xludf.DUMMYFUNCTION("split(E173,"" "")"),"Spain")</f>
        <v>Spain</v>
      </c>
      <c r="H173" s="1" t="str">
        <f>IFERROR(__xludf.DUMMYFUNCTION("""COMPUTED_VALUE"""),"(ES)")</f>
        <v>(ES)</v>
      </c>
      <c r="I173" s="1" t="str">
        <f>vlookup(G173,'All Countries'!$A$1:$B$40,2,false)</f>
        <v>Spain</v>
      </c>
    </row>
    <row r="174">
      <c r="A174" s="13" t="s">
        <v>782</v>
      </c>
      <c r="B174" s="13" t="s">
        <v>783</v>
      </c>
      <c r="C174" s="13"/>
      <c r="D174" s="13" t="s">
        <v>784</v>
      </c>
      <c r="E174" s="13" t="s">
        <v>770</v>
      </c>
      <c r="F174" s="13" t="s">
        <v>277</v>
      </c>
      <c r="G174" s="1" t="str">
        <f>IFERROR(__xludf.DUMMYFUNCTION("split(E174,"" "")"),"Spain")</f>
        <v>Spain</v>
      </c>
      <c r="H174" s="1" t="str">
        <f>IFERROR(__xludf.DUMMYFUNCTION("""COMPUTED_VALUE"""),"(ES)")</f>
        <v>(ES)</v>
      </c>
      <c r="I174" s="1" t="str">
        <f>vlookup(G174,'All Countries'!$A$1:$B$40,2,false)</f>
        <v>Spain</v>
      </c>
    </row>
    <row r="175">
      <c r="A175" s="13" t="s">
        <v>785</v>
      </c>
      <c r="B175" s="13" t="s">
        <v>786</v>
      </c>
      <c r="C175" s="13"/>
      <c r="D175" s="13" t="s">
        <v>787</v>
      </c>
      <c r="E175" s="13" t="s">
        <v>770</v>
      </c>
      <c r="F175" s="13" t="s">
        <v>277</v>
      </c>
      <c r="G175" s="1" t="str">
        <f>IFERROR(__xludf.DUMMYFUNCTION("split(E175,"" "")"),"Spain")</f>
        <v>Spain</v>
      </c>
      <c r="H175" s="1" t="str">
        <f>IFERROR(__xludf.DUMMYFUNCTION("""COMPUTED_VALUE"""),"(ES)")</f>
        <v>(ES)</v>
      </c>
      <c r="I175" s="1" t="str">
        <f>vlookup(G175,'All Countries'!$A$1:$B$40,2,false)</f>
        <v>Spain</v>
      </c>
    </row>
    <row r="176">
      <c r="A176" s="13" t="s">
        <v>788</v>
      </c>
      <c r="B176" s="13" t="s">
        <v>789</v>
      </c>
      <c r="C176" s="13"/>
      <c r="D176" s="13" t="s">
        <v>49</v>
      </c>
      <c r="E176" s="13" t="s">
        <v>770</v>
      </c>
      <c r="F176" s="13" t="s">
        <v>277</v>
      </c>
      <c r="G176" s="1" t="str">
        <f>IFERROR(__xludf.DUMMYFUNCTION("split(E176,"" "")"),"Spain")</f>
        <v>Spain</v>
      </c>
      <c r="H176" s="1" t="str">
        <f>IFERROR(__xludf.DUMMYFUNCTION("""COMPUTED_VALUE"""),"(ES)")</f>
        <v>(ES)</v>
      </c>
      <c r="I176" s="1" t="str">
        <f>vlookup(G176,'All Countries'!$A$1:$B$40,2,false)</f>
        <v>Spain</v>
      </c>
    </row>
    <row r="177">
      <c r="A177" s="13" t="s">
        <v>790</v>
      </c>
      <c r="B177" s="13" t="s">
        <v>791</v>
      </c>
      <c r="C177" s="13"/>
      <c r="D177" s="13" t="s">
        <v>792</v>
      </c>
      <c r="E177" s="13" t="s">
        <v>793</v>
      </c>
      <c r="F177" s="13" t="s">
        <v>287</v>
      </c>
      <c r="G177" s="1" t="str">
        <f>IFERROR(__xludf.DUMMYFUNCTION("split(E177,"" "")"),"Sweden")</f>
        <v>Sweden</v>
      </c>
      <c r="H177" s="1" t="str">
        <f>IFERROR(__xludf.DUMMYFUNCTION("""COMPUTED_VALUE"""),"(SE)")</f>
        <v>(SE)</v>
      </c>
      <c r="I177" s="1" t="str">
        <f>vlookup(G177,'All Countries'!$A$1:$B$40,2,false)</f>
        <v>#N/A</v>
      </c>
    </row>
    <row r="178">
      <c r="A178" s="13" t="s">
        <v>362</v>
      </c>
      <c r="B178" s="13" t="s">
        <v>794</v>
      </c>
      <c r="C178" s="13"/>
      <c r="D178" s="13" t="s">
        <v>795</v>
      </c>
      <c r="E178" s="13" t="s">
        <v>793</v>
      </c>
      <c r="F178" s="13" t="s">
        <v>287</v>
      </c>
      <c r="G178" s="1" t="str">
        <f>IFERROR(__xludf.DUMMYFUNCTION("split(E178,"" "")"),"Sweden")</f>
        <v>Sweden</v>
      </c>
      <c r="H178" s="1" t="str">
        <f>IFERROR(__xludf.DUMMYFUNCTION("""COMPUTED_VALUE"""),"(SE)")</f>
        <v>(SE)</v>
      </c>
      <c r="I178" s="1" t="str">
        <f>vlookup(G178,'All Countries'!$A$1:$B$40,2,false)</f>
        <v>#N/A</v>
      </c>
    </row>
    <row r="179">
      <c r="A179" s="13" t="s">
        <v>796</v>
      </c>
      <c r="B179" s="13" t="s">
        <v>797</v>
      </c>
      <c r="C179" s="13"/>
      <c r="D179" s="13" t="s">
        <v>798</v>
      </c>
      <c r="E179" s="13" t="s">
        <v>793</v>
      </c>
      <c r="F179" s="13" t="s">
        <v>277</v>
      </c>
      <c r="G179" s="1" t="str">
        <f>IFERROR(__xludf.DUMMYFUNCTION("split(E179,"" "")"),"Sweden")</f>
        <v>Sweden</v>
      </c>
      <c r="H179" s="1" t="str">
        <f>IFERROR(__xludf.DUMMYFUNCTION("""COMPUTED_VALUE"""),"(SE)")</f>
        <v>(SE)</v>
      </c>
      <c r="I179" s="1" t="str">
        <f>vlookup(G179,'All Countries'!$A$1:$B$40,2,false)</f>
        <v>#N/A</v>
      </c>
    </row>
    <row r="180">
      <c r="A180" s="13" t="s">
        <v>799</v>
      </c>
      <c r="B180" s="13" t="s">
        <v>800</v>
      </c>
      <c r="C180" s="13"/>
      <c r="D180" s="13" t="s">
        <v>801</v>
      </c>
      <c r="E180" s="13" t="s">
        <v>802</v>
      </c>
      <c r="F180" s="13" t="s">
        <v>277</v>
      </c>
      <c r="G180" s="1" t="str">
        <f>IFERROR(__xludf.DUMMYFUNCTION("split(E180,"" "")"),"Switzerland")</f>
        <v>Switzerland</v>
      </c>
      <c r="H180" s="1" t="str">
        <f>IFERROR(__xludf.DUMMYFUNCTION("""COMPUTED_VALUE"""),"(CH)")</f>
        <v>(CH)</v>
      </c>
      <c r="I180" s="1" t="str">
        <f>vlookup(G180,'All Countries'!$A$1:$B$40,2,false)</f>
        <v>Switzerland</v>
      </c>
    </row>
    <row r="181">
      <c r="A181" s="13" t="s">
        <v>803</v>
      </c>
      <c r="B181" s="13" t="s">
        <v>804</v>
      </c>
      <c r="C181" s="13"/>
      <c r="D181" s="13" t="s">
        <v>210</v>
      </c>
      <c r="E181" s="13" t="s">
        <v>802</v>
      </c>
      <c r="F181" s="13" t="s">
        <v>287</v>
      </c>
      <c r="G181" s="1" t="str">
        <f>IFERROR(__xludf.DUMMYFUNCTION("split(E181,"" "")"),"Switzerland")</f>
        <v>Switzerland</v>
      </c>
      <c r="H181" s="1" t="str">
        <f>IFERROR(__xludf.DUMMYFUNCTION("""COMPUTED_VALUE"""),"(CH)")</f>
        <v>(CH)</v>
      </c>
      <c r="I181" s="1" t="str">
        <f>vlookup(G181,'All Countries'!$A$1:$B$40,2,false)</f>
        <v>Switzerland</v>
      </c>
    </row>
    <row r="182">
      <c r="A182" s="13" t="s">
        <v>805</v>
      </c>
      <c r="B182" s="13" t="s">
        <v>806</v>
      </c>
      <c r="C182" s="13"/>
      <c r="D182" s="13" t="s">
        <v>807</v>
      </c>
      <c r="E182" s="13" t="s">
        <v>802</v>
      </c>
      <c r="F182" s="13" t="s">
        <v>277</v>
      </c>
      <c r="G182" s="1" t="str">
        <f>IFERROR(__xludf.DUMMYFUNCTION("split(E182,"" "")"),"Switzerland")</f>
        <v>Switzerland</v>
      </c>
      <c r="H182" s="1" t="str">
        <f>IFERROR(__xludf.DUMMYFUNCTION("""COMPUTED_VALUE"""),"(CH)")</f>
        <v>(CH)</v>
      </c>
      <c r="I182" s="1" t="str">
        <f>vlookup(G182,'All Countries'!$A$1:$B$40,2,false)</f>
        <v>Switzerland</v>
      </c>
    </row>
    <row r="183">
      <c r="A183" s="13" t="s">
        <v>808</v>
      </c>
      <c r="B183" s="13" t="s">
        <v>809</v>
      </c>
      <c r="C183" s="13"/>
      <c r="D183" s="13" t="s">
        <v>810</v>
      </c>
      <c r="E183" s="13" t="s">
        <v>802</v>
      </c>
      <c r="F183" s="13" t="s">
        <v>277</v>
      </c>
      <c r="G183" s="1" t="str">
        <f>IFERROR(__xludf.DUMMYFUNCTION("split(E183,"" "")"),"Switzerland")</f>
        <v>Switzerland</v>
      </c>
      <c r="H183" s="1" t="str">
        <f>IFERROR(__xludf.DUMMYFUNCTION("""COMPUTED_VALUE"""),"(CH)")</f>
        <v>(CH)</v>
      </c>
      <c r="I183" s="1" t="str">
        <f>vlookup(G183,'All Countries'!$A$1:$B$40,2,false)</f>
        <v>Switzerland</v>
      </c>
    </row>
    <row r="184">
      <c r="A184" s="13" t="s">
        <v>811</v>
      </c>
      <c r="B184" s="13" t="s">
        <v>812</v>
      </c>
      <c r="C184" s="13"/>
      <c r="D184" s="13" t="s">
        <v>813</v>
      </c>
      <c r="E184" s="13" t="s">
        <v>802</v>
      </c>
      <c r="F184" s="13" t="s">
        <v>287</v>
      </c>
      <c r="G184" s="1" t="str">
        <f>IFERROR(__xludf.DUMMYFUNCTION("split(E184,"" "")"),"Switzerland")</f>
        <v>Switzerland</v>
      </c>
      <c r="H184" s="1" t="str">
        <f>IFERROR(__xludf.DUMMYFUNCTION("""COMPUTED_VALUE"""),"(CH)")</f>
        <v>(CH)</v>
      </c>
      <c r="I184" s="1" t="str">
        <f>vlookup(G184,'All Countries'!$A$1:$B$40,2,false)</f>
        <v>Switzerland</v>
      </c>
    </row>
    <row r="185">
      <c r="A185" s="13" t="s">
        <v>814</v>
      </c>
      <c r="B185" s="13" t="s">
        <v>815</v>
      </c>
      <c r="C185" s="13"/>
      <c r="D185" s="13" t="s">
        <v>816</v>
      </c>
      <c r="E185" s="13" t="s">
        <v>802</v>
      </c>
      <c r="F185" s="13" t="s">
        <v>277</v>
      </c>
      <c r="G185" s="1" t="str">
        <f>IFERROR(__xludf.DUMMYFUNCTION("split(E185,"" "")"),"Switzerland")</f>
        <v>Switzerland</v>
      </c>
      <c r="H185" s="1" t="str">
        <f>IFERROR(__xludf.DUMMYFUNCTION("""COMPUTED_VALUE"""),"(CH)")</f>
        <v>(CH)</v>
      </c>
      <c r="I185" s="1" t="str">
        <f>vlookup(G185,'All Countries'!$A$1:$B$40,2,false)</f>
        <v>Switzerland</v>
      </c>
    </row>
    <row r="186">
      <c r="A186" s="13" t="s">
        <v>817</v>
      </c>
      <c r="B186" s="13" t="s">
        <v>818</v>
      </c>
      <c r="C186" s="13"/>
      <c r="D186" s="13" t="s">
        <v>819</v>
      </c>
      <c r="E186" s="13" t="s">
        <v>802</v>
      </c>
      <c r="F186" s="13" t="s">
        <v>277</v>
      </c>
      <c r="G186" s="1" t="str">
        <f>IFERROR(__xludf.DUMMYFUNCTION("split(E186,"" "")"),"Switzerland")</f>
        <v>Switzerland</v>
      </c>
      <c r="H186" s="1" t="str">
        <f>IFERROR(__xludf.DUMMYFUNCTION("""COMPUTED_VALUE"""),"(CH)")</f>
        <v>(CH)</v>
      </c>
      <c r="I186" s="1" t="str">
        <f>vlookup(G186,'All Countries'!$A$1:$B$40,2,false)</f>
        <v>Switzerland</v>
      </c>
    </row>
    <row r="187">
      <c r="A187" s="13" t="s">
        <v>317</v>
      </c>
      <c r="B187" s="13" t="s">
        <v>820</v>
      </c>
      <c r="C187" s="13"/>
      <c r="D187" s="13" t="s">
        <v>821</v>
      </c>
      <c r="E187" s="13" t="s">
        <v>802</v>
      </c>
      <c r="F187" s="13" t="s">
        <v>277</v>
      </c>
      <c r="G187" s="1" t="str">
        <f>IFERROR(__xludf.DUMMYFUNCTION("split(E187,"" "")"),"Switzerland")</f>
        <v>Switzerland</v>
      </c>
      <c r="H187" s="1" t="str">
        <f>IFERROR(__xludf.DUMMYFUNCTION("""COMPUTED_VALUE"""),"(CH)")</f>
        <v>(CH)</v>
      </c>
      <c r="I187" s="1" t="str">
        <f>vlookup(G187,'All Countries'!$A$1:$B$40,2,false)</f>
        <v>Switzerland</v>
      </c>
    </row>
    <row r="188">
      <c r="A188" s="13" t="s">
        <v>822</v>
      </c>
      <c r="B188" s="13" t="s">
        <v>823</v>
      </c>
      <c r="C188" s="13"/>
      <c r="D188" s="13" t="s">
        <v>824</v>
      </c>
      <c r="E188" s="13" t="s">
        <v>825</v>
      </c>
      <c r="F188" s="13" t="s">
        <v>277</v>
      </c>
      <c r="G188" s="1" t="str">
        <f>IFERROR(__xludf.DUMMYFUNCTION("split(E188,"" "")"),"Taiwan")</f>
        <v>Taiwan</v>
      </c>
      <c r="H188" s="1" t="str">
        <f>IFERROR(__xludf.DUMMYFUNCTION("""COMPUTED_VALUE"""),"(TW)")</f>
        <v>(TW)</v>
      </c>
      <c r="I188" s="1" t="str">
        <f>vlookup(G188,'All Countries'!$A$1:$B$40,2,false)</f>
        <v>#N/A</v>
      </c>
    </row>
    <row r="189">
      <c r="A189" s="13" t="s">
        <v>826</v>
      </c>
      <c r="B189" s="13" t="s">
        <v>827</v>
      </c>
      <c r="C189" s="13"/>
      <c r="D189" s="13" t="s">
        <v>828</v>
      </c>
      <c r="E189" s="13" t="s">
        <v>829</v>
      </c>
      <c r="F189" s="13" t="s">
        <v>277</v>
      </c>
      <c r="G189" s="1" t="str">
        <f>IFERROR(__xludf.DUMMYFUNCTION("split(E189,"" "")"),"Turkey")</f>
        <v>Turkey</v>
      </c>
      <c r="H189" s="1" t="str">
        <f>IFERROR(__xludf.DUMMYFUNCTION("""COMPUTED_VALUE"""),"(TR)")</f>
        <v>(TR)</v>
      </c>
      <c r="I189" s="1" t="str">
        <f>vlookup(G189,'All Countries'!$A$1:$B$40,2,false)</f>
        <v>Turkey</v>
      </c>
    </row>
    <row r="190">
      <c r="A190" s="13" t="s">
        <v>830</v>
      </c>
      <c r="B190" s="13" t="s">
        <v>831</v>
      </c>
      <c r="C190" s="13"/>
      <c r="D190" s="13" t="s">
        <v>832</v>
      </c>
      <c r="E190" s="13" t="s">
        <v>829</v>
      </c>
      <c r="F190" s="13" t="s">
        <v>287</v>
      </c>
      <c r="G190" s="1" t="str">
        <f>IFERROR(__xludf.DUMMYFUNCTION("split(E190,"" "")"),"Turkey")</f>
        <v>Turkey</v>
      </c>
      <c r="H190" s="1" t="str">
        <f>IFERROR(__xludf.DUMMYFUNCTION("""COMPUTED_VALUE"""),"(TR)")</f>
        <v>(TR)</v>
      </c>
      <c r="I190" s="1" t="str">
        <f>vlookup(G190,'All Countries'!$A$1:$B$40,2,false)</f>
        <v>Turkey</v>
      </c>
    </row>
    <row r="191">
      <c r="A191" s="13" t="s">
        <v>833</v>
      </c>
      <c r="B191" s="13" t="s">
        <v>834</v>
      </c>
      <c r="C191" s="13"/>
      <c r="D191" s="13" t="s">
        <v>835</v>
      </c>
      <c r="E191" s="13" t="s">
        <v>829</v>
      </c>
      <c r="F191" s="13" t="s">
        <v>277</v>
      </c>
      <c r="G191" s="1" t="str">
        <f>IFERROR(__xludf.DUMMYFUNCTION("split(E191,"" "")"),"Turkey")</f>
        <v>Turkey</v>
      </c>
      <c r="H191" s="1" t="str">
        <f>IFERROR(__xludf.DUMMYFUNCTION("""COMPUTED_VALUE"""),"(TR)")</f>
        <v>(TR)</v>
      </c>
      <c r="I191" s="1" t="str">
        <f>vlookup(G191,'All Countries'!$A$1:$B$40,2,false)</f>
        <v>Turkey</v>
      </c>
    </row>
    <row r="192">
      <c r="A192" s="13" t="s">
        <v>836</v>
      </c>
      <c r="B192" s="13" t="s">
        <v>837</v>
      </c>
      <c r="C192" s="13"/>
      <c r="D192" s="14" t="s">
        <v>230</v>
      </c>
      <c r="E192" s="13" t="s">
        <v>829</v>
      </c>
      <c r="F192" s="13" t="s">
        <v>277</v>
      </c>
      <c r="G192" s="1" t="str">
        <f>IFERROR(__xludf.DUMMYFUNCTION("split(E192,"" "")"),"Turkey")</f>
        <v>Turkey</v>
      </c>
      <c r="H192" s="1" t="str">
        <f>IFERROR(__xludf.DUMMYFUNCTION("""COMPUTED_VALUE"""),"(TR)")</f>
        <v>(TR)</v>
      </c>
      <c r="I192" s="1" t="str">
        <f>vlookup(G192,'All Countries'!$A$1:$B$40,2,false)</f>
        <v>Turkey</v>
      </c>
    </row>
    <row r="193">
      <c r="A193" s="13" t="s">
        <v>838</v>
      </c>
      <c r="B193" s="13" t="s">
        <v>839</v>
      </c>
      <c r="C193" s="13"/>
      <c r="D193" s="13" t="s">
        <v>226</v>
      </c>
      <c r="E193" s="13" t="s">
        <v>829</v>
      </c>
      <c r="F193" s="13" t="s">
        <v>287</v>
      </c>
      <c r="G193" s="1" t="str">
        <f>IFERROR(__xludf.DUMMYFUNCTION("split(E193,"" "")"),"Turkey")</f>
        <v>Turkey</v>
      </c>
      <c r="H193" s="1" t="str">
        <f>IFERROR(__xludf.DUMMYFUNCTION("""COMPUTED_VALUE"""),"(TR)")</f>
        <v>(TR)</v>
      </c>
      <c r="I193" s="1" t="str">
        <f>vlookup(G193,'All Countries'!$A$1:$B$40,2,false)</f>
        <v>Turkey</v>
      </c>
    </row>
    <row r="194">
      <c r="A194" s="13" t="s">
        <v>840</v>
      </c>
      <c r="B194" s="13" t="s">
        <v>841</v>
      </c>
      <c r="C194" s="13"/>
      <c r="D194" s="13" t="s">
        <v>842</v>
      </c>
      <c r="E194" s="13" t="s">
        <v>829</v>
      </c>
      <c r="F194" s="13" t="s">
        <v>277</v>
      </c>
      <c r="G194" s="1" t="str">
        <f>IFERROR(__xludf.DUMMYFUNCTION("split(E194,"" "")"),"Turkey")</f>
        <v>Turkey</v>
      </c>
      <c r="H194" s="1" t="str">
        <f>IFERROR(__xludf.DUMMYFUNCTION("""COMPUTED_VALUE"""),"(TR)")</f>
        <v>(TR)</v>
      </c>
      <c r="I194" s="1" t="str">
        <f>vlookup(G194,'All Countries'!$A$1:$B$40,2,false)</f>
        <v>Turkey</v>
      </c>
    </row>
    <row r="195">
      <c r="A195" s="13" t="s">
        <v>843</v>
      </c>
      <c r="B195" s="13" t="s">
        <v>844</v>
      </c>
      <c r="C195" s="13"/>
      <c r="D195" s="13" t="s">
        <v>845</v>
      </c>
      <c r="E195" s="13" t="s">
        <v>829</v>
      </c>
      <c r="F195" s="13" t="s">
        <v>277</v>
      </c>
      <c r="G195" s="1" t="str">
        <f>IFERROR(__xludf.DUMMYFUNCTION("split(E195,"" "")"),"Turkey")</f>
        <v>Turkey</v>
      </c>
      <c r="H195" s="1" t="str">
        <f>IFERROR(__xludf.DUMMYFUNCTION("""COMPUTED_VALUE"""),"(TR)")</f>
        <v>(TR)</v>
      </c>
      <c r="I195" s="1" t="str">
        <f>vlookup(G195,'All Countries'!$A$1:$B$40,2,false)</f>
        <v>Turkey</v>
      </c>
    </row>
    <row r="196">
      <c r="A196" s="13" t="s">
        <v>846</v>
      </c>
      <c r="B196" s="13" t="s">
        <v>847</v>
      </c>
      <c r="C196" s="13"/>
      <c r="D196" s="13" t="s">
        <v>848</v>
      </c>
      <c r="E196" s="13" t="s">
        <v>829</v>
      </c>
      <c r="F196" s="13" t="s">
        <v>277</v>
      </c>
      <c r="G196" s="1" t="str">
        <f>IFERROR(__xludf.DUMMYFUNCTION("split(E196,"" "")"),"Turkey")</f>
        <v>Turkey</v>
      </c>
      <c r="H196" s="1" t="str">
        <f>IFERROR(__xludf.DUMMYFUNCTION("""COMPUTED_VALUE"""),"(TR)")</f>
        <v>(TR)</v>
      </c>
      <c r="I196" s="1" t="str">
        <f>vlookup(G196,'All Countries'!$A$1:$B$40,2,false)</f>
        <v>Turkey</v>
      </c>
    </row>
    <row r="197">
      <c r="A197" s="13" t="s">
        <v>849</v>
      </c>
      <c r="B197" s="13" t="s">
        <v>850</v>
      </c>
      <c r="C197" s="13"/>
      <c r="D197" s="14" t="s">
        <v>851</v>
      </c>
      <c r="E197" s="13" t="s">
        <v>829</v>
      </c>
      <c r="F197" s="13" t="s">
        <v>277</v>
      </c>
      <c r="G197" s="1" t="str">
        <f>IFERROR(__xludf.DUMMYFUNCTION("split(E197,"" "")"),"Turkey")</f>
        <v>Turkey</v>
      </c>
      <c r="H197" s="1" t="str">
        <f>IFERROR(__xludf.DUMMYFUNCTION("""COMPUTED_VALUE"""),"(TR)")</f>
        <v>(TR)</v>
      </c>
      <c r="I197" s="1" t="str">
        <f>vlookup(G197,'All Countries'!$A$1:$B$40,2,false)</f>
        <v>Turkey</v>
      </c>
    </row>
    <row r="198">
      <c r="A198" s="13" t="s">
        <v>852</v>
      </c>
      <c r="B198" s="13" t="s">
        <v>853</v>
      </c>
      <c r="C198" s="13"/>
      <c r="D198" s="13" t="s">
        <v>854</v>
      </c>
      <c r="E198" s="13" t="s">
        <v>829</v>
      </c>
      <c r="F198" s="13" t="s">
        <v>277</v>
      </c>
      <c r="G198" s="1" t="str">
        <f>IFERROR(__xludf.DUMMYFUNCTION("split(E198,"" "")"),"Turkey")</f>
        <v>Turkey</v>
      </c>
      <c r="H198" s="1" t="str">
        <f>IFERROR(__xludf.DUMMYFUNCTION("""COMPUTED_VALUE"""),"(TR)")</f>
        <v>(TR)</v>
      </c>
      <c r="I198" s="1" t="str">
        <f>vlookup(G198,'All Countries'!$A$1:$B$40,2,false)</f>
        <v>Turkey</v>
      </c>
    </row>
    <row r="199">
      <c r="A199" s="13" t="s">
        <v>855</v>
      </c>
      <c r="B199" s="13" t="s">
        <v>856</v>
      </c>
      <c r="C199" s="13"/>
      <c r="D199" s="13" t="s">
        <v>857</v>
      </c>
      <c r="E199" s="13" t="s">
        <v>829</v>
      </c>
      <c r="F199" s="13" t="s">
        <v>277</v>
      </c>
      <c r="G199" s="1" t="str">
        <f>IFERROR(__xludf.DUMMYFUNCTION("split(E199,"" "")"),"Turkey")</f>
        <v>Turkey</v>
      </c>
      <c r="H199" s="1" t="str">
        <f>IFERROR(__xludf.DUMMYFUNCTION("""COMPUTED_VALUE"""),"(TR)")</f>
        <v>(TR)</v>
      </c>
      <c r="I199" s="1" t="str">
        <f>vlookup(G199,'All Countries'!$A$1:$B$40,2,false)</f>
        <v>Turkey</v>
      </c>
    </row>
    <row r="200">
      <c r="A200" s="13" t="s">
        <v>858</v>
      </c>
      <c r="B200" s="15" t="s">
        <v>859</v>
      </c>
      <c r="C200" s="13"/>
      <c r="D200" s="13" t="s">
        <v>860</v>
      </c>
      <c r="E200" s="13" t="s">
        <v>829</v>
      </c>
      <c r="F200" s="13" t="s">
        <v>277</v>
      </c>
      <c r="G200" s="1" t="str">
        <f>IFERROR(__xludf.DUMMYFUNCTION("split(E200,"" "")"),"Turkey")</f>
        <v>Turkey</v>
      </c>
      <c r="H200" s="1" t="str">
        <f>IFERROR(__xludf.DUMMYFUNCTION("""COMPUTED_VALUE"""),"(TR)")</f>
        <v>(TR)</v>
      </c>
      <c r="I200" s="1" t="str">
        <f>vlookup(G200,'All Countries'!$A$1:$B$40,2,false)</f>
        <v>Turkey</v>
      </c>
    </row>
    <row r="201">
      <c r="A201" s="13" t="s">
        <v>861</v>
      </c>
      <c r="B201" s="13" t="s">
        <v>862</v>
      </c>
      <c r="C201" s="13"/>
      <c r="D201" s="13" t="s">
        <v>863</v>
      </c>
      <c r="E201" s="13" t="s">
        <v>864</v>
      </c>
      <c r="F201" s="13" t="s">
        <v>277</v>
      </c>
      <c r="G201" s="1" t="str">
        <f>IFERROR(__xludf.DUMMYFUNCTION("split(E201,"" "")"),"#REF!")</f>
        <v>#REF!</v>
      </c>
      <c r="H201" s="1"/>
      <c r="I201" s="1" t="str">
        <f>vlookup(G201,'All Countries'!$A$1:$B$40,2,false)</f>
        <v>#REF!</v>
      </c>
    </row>
    <row r="202">
      <c r="A202" s="13" t="s">
        <v>748</v>
      </c>
      <c r="B202" s="13" t="s">
        <v>865</v>
      </c>
      <c r="C202" s="13"/>
      <c r="D202" s="13" t="s">
        <v>866</v>
      </c>
      <c r="E202" s="13" t="s">
        <v>867</v>
      </c>
      <c r="F202" s="13" t="s">
        <v>277</v>
      </c>
      <c r="G202" s="6" t="s">
        <v>236</v>
      </c>
      <c r="I202" s="1" t="str">
        <f>vlookup(G202,'All Countries'!$A$1:$B$40,2,false)</f>
        <v>United Kingdom</v>
      </c>
    </row>
    <row r="203">
      <c r="A203" s="13" t="s">
        <v>868</v>
      </c>
      <c r="B203" s="13" t="s">
        <v>869</v>
      </c>
      <c r="C203" s="13"/>
      <c r="D203" s="13" t="s">
        <v>870</v>
      </c>
      <c r="E203" s="13" t="s">
        <v>867</v>
      </c>
      <c r="F203" s="13" t="s">
        <v>287</v>
      </c>
      <c r="G203" s="6" t="s">
        <v>236</v>
      </c>
      <c r="I203" s="1" t="str">
        <f>vlookup(G203,'All Countries'!$A$1:$B$40,2,false)</f>
        <v>United Kingdom</v>
      </c>
    </row>
    <row r="204">
      <c r="A204" s="13" t="s">
        <v>871</v>
      </c>
      <c r="B204" s="13" t="s">
        <v>872</v>
      </c>
      <c r="C204" s="13"/>
      <c r="D204" s="13" t="s">
        <v>873</v>
      </c>
      <c r="E204" s="13" t="s">
        <v>867</v>
      </c>
      <c r="F204" s="13" t="s">
        <v>277</v>
      </c>
      <c r="G204" s="6" t="s">
        <v>236</v>
      </c>
      <c r="I204" s="1" t="str">
        <f>vlookup(G204,'All Countries'!$A$1:$B$40,2,false)</f>
        <v>United Kingdom</v>
      </c>
    </row>
    <row r="205">
      <c r="A205" s="13" t="s">
        <v>874</v>
      </c>
      <c r="B205" s="13" t="s">
        <v>875</v>
      </c>
      <c r="C205" s="13"/>
      <c r="D205" s="13" t="s">
        <v>238</v>
      </c>
      <c r="E205" s="13" t="s">
        <v>867</v>
      </c>
      <c r="F205" s="13" t="s">
        <v>287</v>
      </c>
      <c r="G205" s="6" t="s">
        <v>236</v>
      </c>
      <c r="I205" s="1" t="str">
        <f>vlookup(G205,'All Countries'!$A$1:$B$40,2,false)</f>
        <v>United Kingdom</v>
      </c>
    </row>
    <row r="206">
      <c r="A206" s="13" t="s">
        <v>876</v>
      </c>
      <c r="B206" s="15" t="s">
        <v>877</v>
      </c>
      <c r="C206" s="13"/>
      <c r="D206" s="13" t="s">
        <v>878</v>
      </c>
      <c r="E206" s="13" t="s">
        <v>867</v>
      </c>
      <c r="F206" s="13" t="s">
        <v>277</v>
      </c>
      <c r="G206" s="6" t="s">
        <v>236</v>
      </c>
      <c r="I206" s="1" t="str">
        <f>vlookup(G206,'All Countries'!$A$1:$B$40,2,false)</f>
        <v>United Kingdom</v>
      </c>
    </row>
    <row r="207">
      <c r="A207" s="13" t="s">
        <v>879</v>
      </c>
      <c r="B207" s="13" t="s">
        <v>880</v>
      </c>
      <c r="C207" s="13"/>
      <c r="D207" s="13" t="s">
        <v>235</v>
      </c>
      <c r="E207" s="13" t="s">
        <v>867</v>
      </c>
      <c r="F207" s="13" t="s">
        <v>277</v>
      </c>
      <c r="G207" s="6" t="s">
        <v>236</v>
      </c>
      <c r="I207" s="1" t="str">
        <f>vlookup(G207,'All Countries'!$A$1:$B$40,2,false)</f>
        <v>United Kingdom</v>
      </c>
    </row>
    <row r="208">
      <c r="A208" s="13" t="s">
        <v>881</v>
      </c>
      <c r="B208" s="13" t="s">
        <v>882</v>
      </c>
      <c r="C208" s="13"/>
      <c r="D208" s="13" t="s">
        <v>883</v>
      </c>
      <c r="E208" s="13" t="s">
        <v>867</v>
      </c>
      <c r="F208" s="13" t="s">
        <v>277</v>
      </c>
      <c r="G208" s="6" t="s">
        <v>236</v>
      </c>
      <c r="I208" s="1" t="str">
        <f>vlookup(G208,'All Countries'!$A$1:$B$40,2,false)</f>
        <v>United Kingdom</v>
      </c>
    </row>
    <row r="209">
      <c r="A209" s="13" t="s">
        <v>884</v>
      </c>
      <c r="B209" s="13" t="s">
        <v>885</v>
      </c>
      <c r="C209" s="13"/>
      <c r="D209" s="13" t="s">
        <v>886</v>
      </c>
      <c r="E209" s="13" t="s">
        <v>867</v>
      </c>
      <c r="F209" s="13" t="s">
        <v>277</v>
      </c>
      <c r="G209" s="6" t="s">
        <v>236</v>
      </c>
      <c r="I209" s="1" t="str">
        <f>vlookup(G209,'All Countries'!$A$1:$B$40,2,false)</f>
        <v>United Kingdom</v>
      </c>
    </row>
    <row r="210">
      <c r="A210" s="13" t="s">
        <v>887</v>
      </c>
      <c r="B210" s="14" t="s">
        <v>888</v>
      </c>
      <c r="C210" s="13"/>
      <c r="D210" s="13" t="s">
        <v>889</v>
      </c>
      <c r="E210" s="13" t="s">
        <v>867</v>
      </c>
      <c r="F210" s="13" t="s">
        <v>277</v>
      </c>
      <c r="G210" s="6" t="s">
        <v>236</v>
      </c>
      <c r="I210" s="1" t="str">
        <f>vlookup(G210,'All Countries'!$A$1:$B$40,2,false)</f>
        <v>United Kingdom</v>
      </c>
    </row>
    <row r="211">
      <c r="A211" s="13" t="s">
        <v>890</v>
      </c>
      <c r="B211" s="13" t="s">
        <v>622</v>
      </c>
      <c r="C211" s="13"/>
      <c r="D211" s="13" t="s">
        <v>891</v>
      </c>
      <c r="E211" s="13" t="s">
        <v>892</v>
      </c>
      <c r="F211" s="13" t="s">
        <v>277</v>
      </c>
      <c r="G211" s="1" t="str">
        <f>IFERROR(__xludf.DUMMYFUNCTION("split(E211,"" "")"),"Vietnam")</f>
        <v>Vietnam</v>
      </c>
      <c r="H211" s="1" t="str">
        <f>IFERROR(__xludf.DUMMYFUNCTION("""COMPUTED_VALUE"""),"(VN)")</f>
        <v>(VN)</v>
      </c>
      <c r="I211" s="1" t="str">
        <f>vlookup(G211,'All Countries'!$A$1:$B$40,2,false)</f>
        <v>#N/A</v>
      </c>
    </row>
    <row r="212">
      <c r="A212" s="13" t="s">
        <v>893</v>
      </c>
      <c r="B212" s="13" t="s">
        <v>894</v>
      </c>
      <c r="C212" s="13"/>
      <c r="D212" s="13" t="s">
        <v>243</v>
      </c>
      <c r="E212" s="13" t="s">
        <v>892</v>
      </c>
      <c r="F212" s="13" t="s">
        <v>277</v>
      </c>
      <c r="G212" s="1" t="str">
        <f>IFERROR(__xludf.DUMMYFUNCTION("split(E212,"" "")"),"Vietnam")</f>
        <v>Vietnam</v>
      </c>
      <c r="H212" s="1" t="str">
        <f>IFERROR(__xludf.DUMMYFUNCTION("""COMPUTED_VALUE"""),"(VN)")</f>
        <v>(VN)</v>
      </c>
      <c r="I212" s="1" t="str">
        <f>vlookup(G212,'All Countries'!$A$1:$B$40,2,false)</f>
        <v>#N/A</v>
      </c>
    </row>
    <row r="213">
      <c r="A213" s="13" t="s">
        <v>895</v>
      </c>
      <c r="B213" s="13" t="s">
        <v>896</v>
      </c>
      <c r="C213" s="13"/>
      <c r="D213" s="13" t="s">
        <v>897</v>
      </c>
      <c r="E213" s="13"/>
      <c r="F213" s="13" t="s">
        <v>287</v>
      </c>
      <c r="G213" s="1" t="str">
        <f>IFERROR(__xludf.DUMMYFUNCTION("split(E213,"" "")"),"#VALUE!")</f>
        <v>#VALUE!</v>
      </c>
      <c r="I213" s="1" t="str">
        <f>vlookup(G213,'All Countries'!$A$1:$B$40,2,false)</f>
        <v>#VALUE!</v>
      </c>
    </row>
    <row r="214">
      <c r="A214" s="13" t="s">
        <v>898</v>
      </c>
      <c r="B214" s="13" t="s">
        <v>899</v>
      </c>
      <c r="C214" s="13"/>
      <c r="D214" s="13" t="s">
        <v>900</v>
      </c>
      <c r="E214" s="13"/>
      <c r="F214" s="13" t="s">
        <v>277</v>
      </c>
      <c r="G214" s="1" t="str">
        <f>IFERROR(__xludf.DUMMYFUNCTION("split(E214,"" "")"),"#VALUE!")</f>
        <v>#VALUE!</v>
      </c>
      <c r="I214" s="1" t="str">
        <f>vlookup(G214,'All Countries'!$A$1:$B$40,2,false)</f>
        <v>#VALUE!</v>
      </c>
    </row>
  </sheetData>
  <autoFilter ref="$D$1:$I$214"/>
  <customSheetViews>
    <customSheetView guid="{D73875BC-3CE4-4C50-9AB1-853740E1789B}" filter="1" showAutoFilter="1">
      <autoFilter ref="$E$1:$E$1003"/>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66.25"/>
    <col customWidth="1" min="2" max="2" width="14.25"/>
    <col customWidth="1" min="3" max="6" width="20.5"/>
    <col customWidth="1" min="7" max="7" width="23.0"/>
    <col customWidth="1" min="8" max="8" width="26.0"/>
    <col customWidth="1" min="9" max="9" width="21.75"/>
    <col customWidth="1" min="10" max="10" width="16.63"/>
  </cols>
  <sheetData>
    <row r="1">
      <c r="A1" s="18" t="s">
        <v>901</v>
      </c>
    </row>
    <row r="2">
      <c r="A2" s="18" t="s">
        <v>902</v>
      </c>
      <c r="B2" s="18" t="s">
        <v>903</v>
      </c>
      <c r="C2" s="18" t="s">
        <v>904</v>
      </c>
      <c r="D2" s="18" t="s">
        <v>905</v>
      </c>
      <c r="E2" s="18" t="s">
        <v>906</v>
      </c>
      <c r="F2" s="18" t="s">
        <v>907</v>
      </c>
      <c r="G2" s="18" t="s">
        <v>908</v>
      </c>
      <c r="H2" s="18" t="s">
        <v>909</v>
      </c>
      <c r="I2" s="18" t="s">
        <v>910</v>
      </c>
      <c r="J2" s="18" t="s">
        <v>911</v>
      </c>
      <c r="K2" s="18" t="s">
        <v>912</v>
      </c>
    </row>
    <row r="3">
      <c r="A3" s="19" t="s">
        <v>913</v>
      </c>
      <c r="B3" s="2"/>
      <c r="C3" s="2"/>
      <c r="D3" s="2"/>
      <c r="E3" s="2"/>
      <c r="F3" s="2"/>
      <c r="G3" s="2" t="s">
        <v>914</v>
      </c>
      <c r="H3" s="2" t="s">
        <v>914</v>
      </c>
      <c r="I3" s="2" t="s">
        <v>914</v>
      </c>
      <c r="J3" s="2" t="s">
        <v>915</v>
      </c>
      <c r="K3" s="19" t="s">
        <v>916</v>
      </c>
    </row>
    <row r="4">
      <c r="A4" s="1" t="s">
        <v>276</v>
      </c>
      <c r="B4" s="2" t="s">
        <v>917</v>
      </c>
      <c r="C4" s="2" t="s">
        <v>918</v>
      </c>
      <c r="D4" s="2"/>
      <c r="E4" s="2"/>
      <c r="F4" s="2"/>
      <c r="G4" s="2" t="s">
        <v>286</v>
      </c>
      <c r="J4" s="19" t="s">
        <v>919</v>
      </c>
    </row>
    <row r="5">
      <c r="A5" s="1" t="s">
        <v>313</v>
      </c>
      <c r="B5" s="2" t="s">
        <v>920</v>
      </c>
      <c r="C5" s="2"/>
      <c r="D5" s="2"/>
      <c r="E5" s="2"/>
      <c r="F5" s="2"/>
    </row>
    <row r="6">
      <c r="A6" s="1" t="s">
        <v>316</v>
      </c>
      <c r="B6" s="2" t="s">
        <v>917</v>
      </c>
      <c r="C6" s="2" t="s">
        <v>918</v>
      </c>
      <c r="D6" s="2" t="s">
        <v>918</v>
      </c>
      <c r="E6" s="2" t="s">
        <v>918</v>
      </c>
      <c r="F6" s="2"/>
      <c r="G6" s="2" t="s">
        <v>32</v>
      </c>
      <c r="J6" s="19" t="s">
        <v>921</v>
      </c>
    </row>
    <row r="7">
      <c r="A7" s="1" t="s">
        <v>322</v>
      </c>
      <c r="B7" s="2" t="s">
        <v>917</v>
      </c>
      <c r="C7" s="2" t="s">
        <v>918</v>
      </c>
      <c r="E7" s="2" t="s">
        <v>918</v>
      </c>
      <c r="F7" s="2"/>
      <c r="G7" s="17" t="s">
        <v>321</v>
      </c>
      <c r="J7" s="20" t="s">
        <v>922</v>
      </c>
    </row>
    <row r="8">
      <c r="A8" s="1" t="s">
        <v>326</v>
      </c>
      <c r="B8" s="2" t="s">
        <v>917</v>
      </c>
      <c r="C8" s="2" t="s">
        <v>918</v>
      </c>
      <c r="D8" s="2"/>
      <c r="E8" s="2" t="s">
        <v>918</v>
      </c>
      <c r="F8" s="2"/>
      <c r="G8" s="17" t="s">
        <v>329</v>
      </c>
      <c r="H8" s="17" t="s">
        <v>325</v>
      </c>
      <c r="J8" s="16" t="s">
        <v>923</v>
      </c>
    </row>
    <row r="9">
      <c r="A9" s="1" t="s">
        <v>333</v>
      </c>
      <c r="B9" s="2" t="s">
        <v>917</v>
      </c>
      <c r="C9" s="2" t="s">
        <v>918</v>
      </c>
      <c r="D9" s="2" t="s">
        <v>918</v>
      </c>
      <c r="E9" s="2" t="s">
        <v>918</v>
      </c>
      <c r="F9" s="2"/>
      <c r="G9" s="2" t="s">
        <v>339</v>
      </c>
      <c r="J9" s="21" t="s">
        <v>924</v>
      </c>
    </row>
    <row r="10">
      <c r="A10" s="1" t="s">
        <v>346</v>
      </c>
      <c r="B10" s="2" t="s">
        <v>917</v>
      </c>
      <c r="C10" s="2" t="s">
        <v>918</v>
      </c>
      <c r="D10" s="2"/>
      <c r="E10" s="2" t="s">
        <v>918</v>
      </c>
      <c r="F10" s="2"/>
      <c r="G10" s="2" t="s">
        <v>36</v>
      </c>
      <c r="J10" s="20" t="s">
        <v>925</v>
      </c>
    </row>
    <row r="11">
      <c r="A11" s="1" t="s">
        <v>365</v>
      </c>
      <c r="B11" s="2" t="s">
        <v>917</v>
      </c>
      <c r="C11" s="2" t="s">
        <v>918</v>
      </c>
      <c r="D11" s="2" t="s">
        <v>918</v>
      </c>
      <c r="E11" s="2" t="s">
        <v>918</v>
      </c>
      <c r="F11" s="2" t="s">
        <v>918</v>
      </c>
      <c r="G11" s="13" t="s">
        <v>44</v>
      </c>
      <c r="H11" s="13" t="s">
        <v>368</v>
      </c>
      <c r="I11" s="17" t="s">
        <v>364</v>
      </c>
      <c r="J11" s="20" t="s">
        <v>926</v>
      </c>
    </row>
    <row r="12">
      <c r="A12" s="1" t="s">
        <v>374</v>
      </c>
      <c r="B12" s="2" t="s">
        <v>917</v>
      </c>
      <c r="C12" s="2" t="s">
        <v>918</v>
      </c>
      <c r="D12" s="2"/>
      <c r="E12" s="2" t="s">
        <v>918</v>
      </c>
      <c r="F12" s="2" t="s">
        <v>918</v>
      </c>
      <c r="G12" s="2" t="s">
        <v>927</v>
      </c>
      <c r="J12" s="20" t="s">
        <v>928</v>
      </c>
    </row>
    <row r="13">
      <c r="A13" s="1" t="s">
        <v>389</v>
      </c>
      <c r="B13" s="2" t="s">
        <v>917</v>
      </c>
      <c r="C13" s="2" t="s">
        <v>918</v>
      </c>
      <c r="D13" s="2" t="s">
        <v>918</v>
      </c>
      <c r="G13" s="13" t="s">
        <v>388</v>
      </c>
      <c r="H13" s="13" t="s">
        <v>392</v>
      </c>
      <c r="J13" s="19" t="s">
        <v>929</v>
      </c>
    </row>
    <row r="14">
      <c r="A14" s="1" t="s">
        <v>396</v>
      </c>
      <c r="B14" s="2" t="s">
        <v>811</v>
      </c>
      <c r="C14" s="2"/>
      <c r="D14" s="2" t="s">
        <v>918</v>
      </c>
      <c r="E14" s="2"/>
      <c r="F14" s="2"/>
      <c r="G14" s="2" t="s">
        <v>55</v>
      </c>
    </row>
    <row r="15">
      <c r="A15" s="1" t="s">
        <v>408</v>
      </c>
      <c r="B15" s="2" t="s">
        <v>811</v>
      </c>
      <c r="C15" s="2"/>
      <c r="D15" s="2" t="s">
        <v>918</v>
      </c>
      <c r="E15" s="2"/>
      <c r="F15" s="2"/>
    </row>
    <row r="16">
      <c r="A16" s="1" t="s">
        <v>412</v>
      </c>
      <c r="B16" s="2" t="s">
        <v>493</v>
      </c>
      <c r="C16" s="2" t="s">
        <v>918</v>
      </c>
      <c r="D16" s="2" t="s">
        <v>918</v>
      </c>
      <c r="E16" s="2"/>
      <c r="F16" s="2"/>
      <c r="J16" s="22" t="s">
        <v>930</v>
      </c>
    </row>
    <row r="17">
      <c r="A17" s="1" t="s">
        <v>432</v>
      </c>
      <c r="B17" s="2" t="s">
        <v>493</v>
      </c>
      <c r="C17" s="2" t="s">
        <v>918</v>
      </c>
      <c r="D17" s="2" t="s">
        <v>918</v>
      </c>
      <c r="E17" s="2"/>
      <c r="F17" s="2"/>
      <c r="G17" s="2" t="s">
        <v>931</v>
      </c>
      <c r="H17" s="2" t="s">
        <v>68</v>
      </c>
      <c r="J17" s="19" t="s">
        <v>932</v>
      </c>
    </row>
    <row r="18">
      <c r="A18" s="1" t="s">
        <v>450</v>
      </c>
      <c r="B18" s="2" t="s">
        <v>493</v>
      </c>
      <c r="C18" s="2" t="s">
        <v>918</v>
      </c>
      <c r="D18" s="2" t="s">
        <v>918</v>
      </c>
      <c r="E18" s="2"/>
      <c r="F18" s="2"/>
      <c r="G18" s="2" t="s">
        <v>933</v>
      </c>
    </row>
    <row r="19">
      <c r="A19" s="1" t="s">
        <v>467</v>
      </c>
      <c r="B19" s="2" t="s">
        <v>493</v>
      </c>
      <c r="C19" s="2" t="s">
        <v>918</v>
      </c>
      <c r="D19" s="2" t="s">
        <v>918</v>
      </c>
      <c r="E19" s="2"/>
      <c r="F19" s="2"/>
      <c r="G19" s="2" t="s">
        <v>934</v>
      </c>
      <c r="H19" s="2" t="s">
        <v>470</v>
      </c>
      <c r="I19" s="2" t="s">
        <v>89</v>
      </c>
      <c r="J19" s="20" t="s">
        <v>935</v>
      </c>
    </row>
    <row r="20">
      <c r="A20" s="1" t="s">
        <v>483</v>
      </c>
      <c r="B20" s="2" t="s">
        <v>493</v>
      </c>
      <c r="D20" s="2" t="s">
        <v>918</v>
      </c>
      <c r="E20" s="2"/>
      <c r="F20" s="2"/>
      <c r="G20" s="2" t="s">
        <v>486</v>
      </c>
      <c r="J20" s="19" t="s">
        <v>936</v>
      </c>
    </row>
    <row r="21">
      <c r="A21" s="1" t="s">
        <v>492</v>
      </c>
      <c r="B21" s="2" t="s">
        <v>493</v>
      </c>
      <c r="C21" s="2" t="s">
        <v>918</v>
      </c>
      <c r="D21" s="2" t="s">
        <v>918</v>
      </c>
      <c r="E21" s="2"/>
      <c r="F21" s="2"/>
      <c r="G21" s="2" t="s">
        <v>93</v>
      </c>
      <c r="J21" s="20" t="s">
        <v>937</v>
      </c>
    </row>
    <row r="22">
      <c r="A22" s="1" t="s">
        <v>495</v>
      </c>
      <c r="B22" s="2" t="s">
        <v>493</v>
      </c>
      <c r="D22" s="2" t="s">
        <v>918</v>
      </c>
      <c r="E22" s="2"/>
      <c r="F22" s="2"/>
      <c r="G22" s="2" t="s">
        <v>938</v>
      </c>
      <c r="J22" s="20" t="s">
        <v>939</v>
      </c>
    </row>
    <row r="23">
      <c r="A23" s="1" t="s">
        <v>512</v>
      </c>
      <c r="B23" s="2" t="s">
        <v>493</v>
      </c>
      <c r="D23" s="2" t="s">
        <v>918</v>
      </c>
      <c r="E23" s="2"/>
      <c r="F23" s="2"/>
    </row>
    <row r="24">
      <c r="A24" s="1" t="s">
        <v>522</v>
      </c>
      <c r="B24" s="2" t="s">
        <v>493</v>
      </c>
      <c r="D24" s="2" t="s">
        <v>918</v>
      </c>
      <c r="E24" s="2"/>
      <c r="F24" s="2"/>
      <c r="G24" s="2" t="s">
        <v>110</v>
      </c>
      <c r="J24" s="19" t="s">
        <v>940</v>
      </c>
    </row>
    <row r="25">
      <c r="A25" s="1" t="s">
        <v>557</v>
      </c>
      <c r="B25" s="2" t="s">
        <v>625</v>
      </c>
      <c r="C25" s="2"/>
      <c r="D25" s="2" t="s">
        <v>918</v>
      </c>
      <c r="E25" s="2"/>
      <c r="F25" s="2"/>
    </row>
    <row r="26">
      <c r="A26" s="1" t="s">
        <v>565</v>
      </c>
      <c r="B26" s="2" t="s">
        <v>625</v>
      </c>
      <c r="C26" s="2"/>
      <c r="D26" s="2" t="s">
        <v>918</v>
      </c>
      <c r="E26" s="2"/>
      <c r="F26" s="2"/>
    </row>
    <row r="27">
      <c r="A27" s="1" t="s">
        <v>568</v>
      </c>
      <c r="B27" s="2" t="s">
        <v>625</v>
      </c>
      <c r="C27" s="2"/>
      <c r="D27" s="2" t="s">
        <v>918</v>
      </c>
      <c r="E27" s="2"/>
      <c r="F27" s="2"/>
      <c r="G27" s="2" t="s">
        <v>941</v>
      </c>
    </row>
    <row r="28">
      <c r="A28" s="1" t="s">
        <v>584</v>
      </c>
      <c r="B28" s="2" t="s">
        <v>625</v>
      </c>
      <c r="C28" s="2"/>
      <c r="D28" s="2" t="s">
        <v>918</v>
      </c>
      <c r="E28" s="2"/>
      <c r="F28" s="2"/>
    </row>
    <row r="29">
      <c r="A29" s="1" t="s">
        <v>591</v>
      </c>
      <c r="B29" s="2" t="s">
        <v>625</v>
      </c>
      <c r="C29" s="2"/>
      <c r="D29" s="2"/>
      <c r="E29" s="2"/>
      <c r="F29" s="2"/>
      <c r="G29" s="2" t="s">
        <v>134</v>
      </c>
    </row>
    <row r="30">
      <c r="A30" s="1" t="s">
        <v>603</v>
      </c>
      <c r="B30" s="2" t="s">
        <v>625</v>
      </c>
      <c r="C30" s="2"/>
      <c r="D30" s="2" t="s">
        <v>918</v>
      </c>
      <c r="E30" s="2"/>
      <c r="F30" s="2"/>
    </row>
    <row r="31">
      <c r="A31" s="1" t="s">
        <v>607</v>
      </c>
      <c r="B31" s="2" t="s">
        <v>713</v>
      </c>
      <c r="C31" s="2"/>
      <c r="D31" s="2" t="s">
        <v>918</v>
      </c>
      <c r="E31" s="2" t="s">
        <v>918</v>
      </c>
      <c r="F31" s="2"/>
    </row>
    <row r="32">
      <c r="A32" s="1" t="s">
        <v>612</v>
      </c>
      <c r="B32" s="2" t="s">
        <v>713</v>
      </c>
      <c r="C32" s="2"/>
      <c r="D32" s="2" t="s">
        <v>918</v>
      </c>
      <c r="E32" s="2" t="s">
        <v>918</v>
      </c>
      <c r="F32" s="2"/>
    </row>
    <row r="33">
      <c r="A33" s="1" t="s">
        <v>624</v>
      </c>
      <c r="B33" s="2" t="s">
        <v>713</v>
      </c>
      <c r="C33" s="2"/>
      <c r="D33" s="2" t="s">
        <v>918</v>
      </c>
      <c r="E33" s="2" t="s">
        <v>918</v>
      </c>
      <c r="F33" s="2"/>
    </row>
    <row r="34">
      <c r="A34" s="1" t="s">
        <v>627</v>
      </c>
      <c r="B34" s="2" t="s">
        <v>713</v>
      </c>
      <c r="C34" s="2"/>
      <c r="D34" s="2" t="s">
        <v>920</v>
      </c>
      <c r="E34" s="2" t="s">
        <v>918</v>
      </c>
      <c r="F34" s="2"/>
      <c r="G34" s="2" t="s">
        <v>137</v>
      </c>
      <c r="J34" s="23" t="s">
        <v>942</v>
      </c>
    </row>
    <row r="35">
      <c r="A35" s="1" t="s">
        <v>642</v>
      </c>
      <c r="B35" s="2" t="s">
        <v>713</v>
      </c>
      <c r="C35" s="2"/>
      <c r="D35" s="2" t="s">
        <v>918</v>
      </c>
      <c r="E35" s="2" t="s">
        <v>918</v>
      </c>
      <c r="F35" s="2"/>
      <c r="G35" s="2" t="s">
        <v>647</v>
      </c>
      <c r="J35" s="19" t="s">
        <v>943</v>
      </c>
    </row>
    <row r="36">
      <c r="A36" s="1" t="s">
        <v>660</v>
      </c>
      <c r="B36" s="2" t="s">
        <v>920</v>
      </c>
      <c r="C36" s="2"/>
      <c r="D36" s="2" t="s">
        <v>918</v>
      </c>
      <c r="E36" s="2"/>
      <c r="F36" s="2"/>
    </row>
    <row r="37">
      <c r="A37" s="1" t="s">
        <v>668</v>
      </c>
      <c r="B37" s="2" t="s">
        <v>353</v>
      </c>
      <c r="C37" s="2"/>
      <c r="D37" s="2" t="s">
        <v>918</v>
      </c>
      <c r="E37" s="2"/>
      <c r="F37" s="2"/>
      <c r="G37" s="2" t="s">
        <v>156</v>
      </c>
      <c r="J37" s="19" t="s">
        <v>944</v>
      </c>
    </row>
    <row r="38">
      <c r="A38" s="1" t="s">
        <v>679</v>
      </c>
      <c r="B38" s="2" t="s">
        <v>353</v>
      </c>
      <c r="C38" s="2"/>
      <c r="D38" s="2" t="s">
        <v>918</v>
      </c>
      <c r="E38" s="2"/>
      <c r="F38" s="2"/>
      <c r="G38" s="2" t="s">
        <v>682</v>
      </c>
      <c r="H38" s="2" t="s">
        <v>678</v>
      </c>
      <c r="I38" s="2" t="s">
        <v>160</v>
      </c>
      <c r="J38" s="19" t="s">
        <v>945</v>
      </c>
    </row>
    <row r="39">
      <c r="A39" s="1" t="s">
        <v>697</v>
      </c>
      <c r="B39" s="2" t="s">
        <v>353</v>
      </c>
      <c r="C39" s="2"/>
      <c r="D39" s="2"/>
      <c r="E39" s="2"/>
      <c r="F39" s="2"/>
      <c r="G39" s="2" t="s">
        <v>183</v>
      </c>
      <c r="J39" s="19" t="s">
        <v>946</v>
      </c>
    </row>
    <row r="40">
      <c r="A40" s="1" t="s">
        <v>722</v>
      </c>
      <c r="B40" s="2" t="s">
        <v>353</v>
      </c>
      <c r="C40" s="2"/>
      <c r="D40" s="2" t="s">
        <v>918</v>
      </c>
      <c r="E40" s="2"/>
      <c r="F40" s="2"/>
      <c r="G40" s="24" t="s">
        <v>725</v>
      </c>
      <c r="J40" s="20" t="s">
        <v>947</v>
      </c>
    </row>
    <row r="41">
      <c r="A41" s="1" t="s">
        <v>735</v>
      </c>
      <c r="B41" s="2" t="s">
        <v>920</v>
      </c>
      <c r="C41" s="2"/>
      <c r="D41" s="2"/>
      <c r="E41" s="2"/>
      <c r="F41" s="2"/>
    </row>
    <row r="42">
      <c r="A42" s="1" t="s">
        <v>741</v>
      </c>
      <c r="B42" s="2" t="s">
        <v>353</v>
      </c>
      <c r="C42" s="2"/>
      <c r="D42" s="2" t="s">
        <v>918</v>
      </c>
      <c r="E42" s="2"/>
      <c r="F42" s="2"/>
      <c r="G42" s="2" t="s">
        <v>744</v>
      </c>
      <c r="J42" s="20" t="s">
        <v>948</v>
      </c>
    </row>
    <row r="43">
      <c r="A43" s="1" t="s">
        <v>759</v>
      </c>
      <c r="B43" s="2" t="s">
        <v>353</v>
      </c>
      <c r="C43" s="2"/>
      <c r="D43" s="2"/>
      <c r="E43" s="2"/>
      <c r="F43" s="2"/>
      <c r="G43" s="2" t="s">
        <v>949</v>
      </c>
      <c r="J43" s="19" t="s">
        <v>950</v>
      </c>
    </row>
    <row r="44">
      <c r="A44" s="1" t="s">
        <v>770</v>
      </c>
      <c r="B44" s="2" t="s">
        <v>353</v>
      </c>
      <c r="C44" s="2"/>
      <c r="D44" s="2" t="s">
        <v>918</v>
      </c>
      <c r="E44" s="2"/>
      <c r="F44" s="2"/>
      <c r="G44" s="2" t="s">
        <v>201</v>
      </c>
      <c r="J44" s="19" t="s">
        <v>951</v>
      </c>
    </row>
    <row r="45">
      <c r="A45" s="1" t="s">
        <v>793</v>
      </c>
      <c r="B45" s="2" t="s">
        <v>811</v>
      </c>
      <c r="C45" s="2"/>
      <c r="D45" s="2" t="s">
        <v>918</v>
      </c>
      <c r="E45" s="2"/>
      <c r="F45" s="2"/>
    </row>
    <row r="46">
      <c r="A46" s="1" t="s">
        <v>802</v>
      </c>
      <c r="B46" s="2" t="s">
        <v>811</v>
      </c>
      <c r="C46" s="2"/>
      <c r="D46" s="2"/>
      <c r="E46" s="2"/>
      <c r="F46" s="2"/>
      <c r="G46" s="2" t="s">
        <v>952</v>
      </c>
    </row>
    <row r="47">
      <c r="A47" s="1" t="s">
        <v>802</v>
      </c>
      <c r="B47" s="2" t="s">
        <v>803</v>
      </c>
      <c r="C47" s="2"/>
      <c r="D47" s="2"/>
      <c r="E47" s="2"/>
      <c r="F47" s="2"/>
      <c r="G47" s="2" t="s">
        <v>210</v>
      </c>
      <c r="J47" s="19" t="s">
        <v>953</v>
      </c>
    </row>
    <row r="48">
      <c r="A48" s="1" t="s">
        <v>825</v>
      </c>
      <c r="B48" s="2" t="s">
        <v>920</v>
      </c>
      <c r="C48" s="2"/>
      <c r="D48" s="2"/>
      <c r="E48" s="2"/>
      <c r="F48" s="2"/>
    </row>
    <row r="49">
      <c r="A49" s="1" t="s">
        <v>829</v>
      </c>
      <c r="B49" s="2" t="s">
        <v>811</v>
      </c>
      <c r="C49" s="2"/>
      <c r="D49" s="2" t="s">
        <v>918</v>
      </c>
      <c r="E49" s="2"/>
      <c r="F49" s="2"/>
      <c r="G49" s="2" t="s">
        <v>226</v>
      </c>
      <c r="J49" s="19" t="s">
        <v>954</v>
      </c>
      <c r="K49" s="20" t="s">
        <v>955</v>
      </c>
    </row>
    <row r="50">
      <c r="A50" s="1" t="s">
        <v>829</v>
      </c>
      <c r="B50" s="2" t="s">
        <v>811</v>
      </c>
      <c r="C50" s="2"/>
      <c r="D50" s="2"/>
      <c r="E50" s="2"/>
      <c r="F50" s="2"/>
      <c r="I50" s="2" t="s">
        <v>230</v>
      </c>
      <c r="J50" s="19" t="s">
        <v>956</v>
      </c>
      <c r="K50" s="2"/>
    </row>
    <row r="51">
      <c r="A51" s="1" t="s">
        <v>864</v>
      </c>
      <c r="B51" s="2" t="s">
        <v>920</v>
      </c>
      <c r="C51" s="2"/>
      <c r="D51" s="2"/>
      <c r="E51" s="2"/>
      <c r="F51" s="2"/>
    </row>
    <row r="52">
      <c r="A52" s="1" t="s">
        <v>867</v>
      </c>
      <c r="B52" s="2" t="s">
        <v>811</v>
      </c>
      <c r="C52" s="2"/>
      <c r="D52" s="2" t="s">
        <v>918</v>
      </c>
      <c r="E52" s="2"/>
      <c r="F52" s="2"/>
    </row>
    <row r="53">
      <c r="A53" s="1" t="s">
        <v>892</v>
      </c>
      <c r="B53" s="2" t="s">
        <v>920</v>
      </c>
      <c r="C53" s="2"/>
      <c r="D53" s="2"/>
      <c r="E53" s="2"/>
      <c r="F53" s="2"/>
      <c r="G53" s="2" t="s">
        <v>243</v>
      </c>
      <c r="J53" s="19" t="s">
        <v>957</v>
      </c>
    </row>
    <row r="54">
      <c r="A54" s="2" t="s">
        <v>958</v>
      </c>
      <c r="B54" s="2"/>
      <c r="C54" s="2"/>
      <c r="D54" s="2"/>
      <c r="E54" s="2"/>
      <c r="F54" s="2"/>
      <c r="G54" s="2"/>
      <c r="J54" s="25" t="s">
        <v>959</v>
      </c>
    </row>
    <row r="55">
      <c r="A55" s="26" t="s">
        <v>960</v>
      </c>
      <c r="B55" s="2" t="s">
        <v>540</v>
      </c>
      <c r="G55" s="2" t="s">
        <v>106</v>
      </c>
      <c r="J55" s="20" t="s">
        <v>961</v>
      </c>
    </row>
    <row r="56">
      <c r="J56" s="20" t="s">
        <v>962</v>
      </c>
    </row>
    <row r="58">
      <c r="A58" s="2" t="s">
        <v>963</v>
      </c>
      <c r="B58" s="2" t="s">
        <v>964</v>
      </c>
      <c r="D58" s="2" t="s">
        <v>918</v>
      </c>
      <c r="E58" s="2" t="s">
        <v>918</v>
      </c>
      <c r="F58" s="2"/>
      <c r="G58" s="2" t="s">
        <v>965</v>
      </c>
      <c r="H58" s="2" t="s">
        <v>110</v>
      </c>
    </row>
  </sheetData>
  <hyperlinks>
    <hyperlink r:id="rId1" ref="A3"/>
    <hyperlink r:id="rId2" location="heading=h.2mpvn8bbm5w6" ref="K3"/>
    <hyperlink r:id="rId3" location="heading=h.32e7gxn6ztmt" ref="J4"/>
    <hyperlink r:id="rId4" ref="J6"/>
    <hyperlink r:id="rId5" location="heading=h.32e7gxn6ztmt" ref="J7"/>
    <hyperlink r:id="rId6" ref="J9"/>
    <hyperlink r:id="rId7" ref="J10"/>
    <hyperlink r:id="rId8" ref="J11"/>
    <hyperlink r:id="rId9" location="heading=h.3l5zvva7l0gu" ref="J12"/>
    <hyperlink r:id="rId10" location="heading=h.32e7gxn6ztmt" ref="J13"/>
    <hyperlink r:id="rId11" ref="J16"/>
    <hyperlink r:id="rId12" ref="J17"/>
    <hyperlink r:id="rId13" ref="J19"/>
    <hyperlink r:id="rId14" location="heading=h.32e7gxn6ztmt" ref="J20"/>
    <hyperlink r:id="rId15" ref="J21"/>
    <hyperlink r:id="rId16" ref="J22"/>
    <hyperlink r:id="rId17" ref="J24"/>
    <hyperlink r:id="rId18" ref="J34"/>
    <hyperlink r:id="rId19" ref="J35"/>
    <hyperlink r:id="rId20" ref="J37"/>
    <hyperlink r:id="rId21" location="heading=h.32e7gxn6ztmt" ref="J38"/>
    <hyperlink r:id="rId22" ref="J39"/>
    <hyperlink r:id="rId23" location="heading=h.gjdgxs" ref="J40"/>
    <hyperlink r:id="rId24" ref="J42"/>
    <hyperlink r:id="rId25" ref="J43"/>
    <hyperlink r:id="rId26" ref="J44"/>
    <hyperlink r:id="rId27" location="heading=h.gjdgxs" ref="J47"/>
    <hyperlink r:id="rId28" ref="J49"/>
    <hyperlink r:id="rId29" ref="K49"/>
    <hyperlink r:id="rId30" ref="J50"/>
    <hyperlink r:id="rId31" location="heading=h.32e7gxn6ztmt" ref="J53"/>
    <hyperlink r:id="rId32" ref="J54"/>
    <hyperlink r:id="rId33" location="heading=h.32e7gxn6ztmt" ref="J55"/>
    <hyperlink r:id="rId34" ref="J56"/>
  </hyperlinks>
  <drawing r:id="rId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40.38"/>
    <col customWidth="1" min="3" max="3" width="18.88"/>
    <col customWidth="1" min="4" max="4" width="27.63"/>
    <col customWidth="1" min="5" max="6" width="20.88"/>
    <col customWidth="1" min="7" max="7" width="56.0"/>
  </cols>
  <sheetData>
    <row r="1" ht="14.25" customHeight="1">
      <c r="A1" s="27" t="s">
        <v>270</v>
      </c>
      <c r="B1" s="27" t="s">
        <v>966</v>
      </c>
      <c r="C1" s="27" t="s">
        <v>967</v>
      </c>
      <c r="D1" s="27" t="s">
        <v>968</v>
      </c>
      <c r="E1" s="27" t="s">
        <v>969</v>
      </c>
      <c r="F1" s="27" t="s">
        <v>970</v>
      </c>
      <c r="G1" s="27" t="s">
        <v>971</v>
      </c>
      <c r="H1" s="28"/>
    </row>
    <row r="2" ht="14.25" customHeight="1">
      <c r="A2" s="27" t="s">
        <v>18</v>
      </c>
      <c r="B2" s="29" t="s">
        <v>972</v>
      </c>
      <c r="C2" s="27" t="s">
        <v>21</v>
      </c>
      <c r="D2" s="27" t="s">
        <v>973</v>
      </c>
      <c r="E2" s="27" t="s">
        <v>974</v>
      </c>
      <c r="F2" s="27" t="s">
        <v>975</v>
      </c>
      <c r="G2" s="27" t="s">
        <v>976</v>
      </c>
      <c r="H2" s="28"/>
    </row>
    <row r="3" ht="14.25" customHeight="1">
      <c r="A3" s="27" t="s">
        <v>18</v>
      </c>
      <c r="B3" s="27" t="s">
        <v>977</v>
      </c>
      <c r="C3" s="27" t="s">
        <v>21</v>
      </c>
      <c r="D3" s="27" t="s">
        <v>978</v>
      </c>
      <c r="E3" s="27" t="s">
        <v>974</v>
      </c>
      <c r="F3" s="27" t="s">
        <v>975</v>
      </c>
      <c r="G3" s="27" t="s">
        <v>979</v>
      </c>
      <c r="H3" s="28"/>
    </row>
    <row r="4" ht="14.25" customHeight="1">
      <c r="A4" s="27" t="s">
        <v>18</v>
      </c>
      <c r="B4" s="30" t="s">
        <v>980</v>
      </c>
      <c r="C4" s="27" t="s">
        <v>21</v>
      </c>
      <c r="D4" s="27" t="s">
        <v>981</v>
      </c>
      <c r="E4" s="27" t="s">
        <v>974</v>
      </c>
      <c r="F4" s="27" t="s">
        <v>975</v>
      </c>
      <c r="G4" s="27" t="s">
        <v>982</v>
      </c>
      <c r="H4" s="28"/>
    </row>
    <row r="5" ht="14.25" customHeight="1">
      <c r="A5" s="27" t="s">
        <v>18</v>
      </c>
      <c r="B5" s="27" t="s">
        <v>983</v>
      </c>
      <c r="C5" s="27"/>
      <c r="D5" s="27" t="s">
        <v>299</v>
      </c>
      <c r="E5" s="27"/>
      <c r="F5" s="27" t="s">
        <v>975</v>
      </c>
      <c r="G5" s="31" t="s">
        <v>984</v>
      </c>
      <c r="H5" s="28"/>
    </row>
    <row r="6" ht="14.25" customHeight="1">
      <c r="A6" s="27" t="s">
        <v>18</v>
      </c>
      <c r="B6" s="27"/>
      <c r="C6" s="27"/>
      <c r="D6" s="27" t="s">
        <v>299</v>
      </c>
      <c r="E6" s="27"/>
      <c r="F6" s="27" t="s">
        <v>975</v>
      </c>
      <c r="G6" s="27" t="s">
        <v>985</v>
      </c>
      <c r="H6" s="28"/>
    </row>
    <row r="7" ht="14.25" customHeight="1">
      <c r="A7" s="27" t="s">
        <v>255</v>
      </c>
      <c r="B7" s="32" t="s">
        <v>986</v>
      </c>
      <c r="C7" s="27" t="s">
        <v>21</v>
      </c>
      <c r="D7" s="27" t="s">
        <v>321</v>
      </c>
      <c r="E7" s="27" t="s">
        <v>974</v>
      </c>
      <c r="F7" s="27" t="s">
        <v>975</v>
      </c>
      <c r="G7" s="33" t="s">
        <v>987</v>
      </c>
      <c r="H7" s="28"/>
    </row>
    <row r="8" ht="14.25" customHeight="1">
      <c r="A8" s="27" t="s">
        <v>255</v>
      </c>
      <c r="B8" s="32" t="s">
        <v>988</v>
      </c>
      <c r="C8" s="27" t="s">
        <v>21</v>
      </c>
      <c r="D8" s="27" t="s">
        <v>321</v>
      </c>
      <c r="E8" s="27" t="s">
        <v>974</v>
      </c>
      <c r="F8" s="27" t="s">
        <v>975</v>
      </c>
      <c r="G8" s="34" t="s">
        <v>989</v>
      </c>
      <c r="H8" s="28"/>
    </row>
    <row r="9" ht="14.25" customHeight="1">
      <c r="A9" s="27" t="s">
        <v>255</v>
      </c>
      <c r="B9" s="32" t="s">
        <v>990</v>
      </c>
      <c r="C9" s="27" t="s">
        <v>21</v>
      </c>
      <c r="D9" s="27" t="s">
        <v>321</v>
      </c>
      <c r="E9" s="27" t="s">
        <v>974</v>
      </c>
      <c r="F9" s="27" t="s">
        <v>975</v>
      </c>
      <c r="G9" s="35" t="s">
        <v>991</v>
      </c>
      <c r="H9" s="28"/>
    </row>
    <row r="10" ht="14.25" customHeight="1">
      <c r="A10" s="27" t="s">
        <v>255</v>
      </c>
      <c r="B10" s="32" t="s">
        <v>992</v>
      </c>
      <c r="C10" s="27" t="s">
        <v>21</v>
      </c>
      <c r="D10" s="27" t="s">
        <v>321</v>
      </c>
      <c r="E10" s="27" t="s">
        <v>993</v>
      </c>
      <c r="F10" s="27" t="s">
        <v>975</v>
      </c>
      <c r="G10" s="36" t="s">
        <v>994</v>
      </c>
      <c r="H10" s="28"/>
    </row>
    <row r="11" ht="14.25" customHeight="1">
      <c r="A11" s="27" t="s">
        <v>255</v>
      </c>
      <c r="B11" s="27" t="s">
        <v>995</v>
      </c>
      <c r="C11" s="27"/>
      <c r="D11" s="27" t="s">
        <v>321</v>
      </c>
      <c r="E11" s="27"/>
      <c r="F11" s="27" t="s">
        <v>996</v>
      </c>
      <c r="G11" s="27" t="s">
        <v>997</v>
      </c>
      <c r="H11" s="28"/>
    </row>
    <row r="12" ht="14.25" customHeight="1">
      <c r="A12" s="27" t="s">
        <v>37</v>
      </c>
      <c r="B12" s="27" t="s">
        <v>983</v>
      </c>
      <c r="C12" s="27"/>
      <c r="D12" s="27" t="s">
        <v>998</v>
      </c>
      <c r="E12" s="27"/>
      <c r="F12" s="27" t="s">
        <v>996</v>
      </c>
      <c r="G12" s="37" t="s">
        <v>999</v>
      </c>
      <c r="H12" s="28"/>
    </row>
    <row r="13" ht="14.25" customHeight="1">
      <c r="A13" s="27" t="s">
        <v>37</v>
      </c>
      <c r="B13" s="27" t="s">
        <v>983</v>
      </c>
      <c r="C13" s="37"/>
      <c r="D13" s="37" t="s">
        <v>1000</v>
      </c>
      <c r="E13" s="27"/>
      <c r="F13" s="27" t="s">
        <v>996</v>
      </c>
      <c r="G13" s="27" t="s">
        <v>1001</v>
      </c>
      <c r="H13" s="28"/>
    </row>
    <row r="14" ht="14.25" customHeight="1">
      <c r="A14" s="27" t="s">
        <v>37</v>
      </c>
      <c r="B14" s="27" t="s">
        <v>983</v>
      </c>
      <c r="C14" s="27"/>
      <c r="D14" s="27" t="s">
        <v>349</v>
      </c>
      <c r="E14" s="27"/>
      <c r="F14" s="27" t="s">
        <v>996</v>
      </c>
      <c r="G14" s="27" t="s">
        <v>1002</v>
      </c>
      <c r="H14" s="28"/>
    </row>
    <row r="15" ht="14.25" customHeight="1">
      <c r="A15" s="27" t="s">
        <v>37</v>
      </c>
      <c r="B15" s="27" t="s">
        <v>983</v>
      </c>
      <c r="C15" s="27"/>
      <c r="D15" s="27" t="s">
        <v>36</v>
      </c>
      <c r="E15" s="27"/>
      <c r="F15" s="27" t="s">
        <v>996</v>
      </c>
      <c r="G15" s="27" t="s">
        <v>1003</v>
      </c>
      <c r="H15" s="28"/>
    </row>
    <row r="16" ht="14.25" customHeight="1">
      <c r="A16" s="27" t="s">
        <v>37</v>
      </c>
      <c r="B16" s="27" t="s">
        <v>983</v>
      </c>
      <c r="C16" s="27"/>
      <c r="D16" s="27" t="s">
        <v>36</v>
      </c>
      <c r="E16" s="27"/>
      <c r="F16" s="27" t="s">
        <v>996</v>
      </c>
      <c r="G16" s="27" t="s">
        <v>1004</v>
      </c>
      <c r="H16" s="28"/>
    </row>
    <row r="17" ht="14.25" customHeight="1">
      <c r="A17" s="27" t="s">
        <v>37</v>
      </c>
      <c r="B17" s="38" t="s">
        <v>1005</v>
      </c>
      <c r="C17" s="35" t="s">
        <v>21</v>
      </c>
      <c r="D17" s="35" t="s">
        <v>345</v>
      </c>
      <c r="E17" s="28"/>
      <c r="F17" s="28"/>
      <c r="G17" s="28"/>
      <c r="H17" s="28"/>
    </row>
    <row r="18" ht="14.25" customHeight="1">
      <c r="A18" s="27" t="s">
        <v>37</v>
      </c>
      <c r="B18" s="39" t="s">
        <v>1006</v>
      </c>
      <c r="C18" s="35" t="s">
        <v>21</v>
      </c>
      <c r="D18" s="35" t="s">
        <v>345</v>
      </c>
      <c r="E18" s="28"/>
      <c r="F18" s="28"/>
      <c r="G18" s="28"/>
      <c r="H18" s="28"/>
    </row>
    <row r="19" ht="14.25" customHeight="1">
      <c r="A19" s="27" t="s">
        <v>37</v>
      </c>
      <c r="B19" s="38" t="s">
        <v>1007</v>
      </c>
      <c r="C19" s="35" t="s">
        <v>21</v>
      </c>
      <c r="D19" s="35" t="s">
        <v>345</v>
      </c>
      <c r="E19" s="28"/>
      <c r="F19" s="28"/>
      <c r="G19" s="28"/>
      <c r="H19" s="28"/>
    </row>
    <row r="20" ht="14.25" customHeight="1">
      <c r="A20" s="27" t="s">
        <v>37</v>
      </c>
      <c r="B20" s="27" t="s">
        <v>983</v>
      </c>
      <c r="C20" s="35"/>
      <c r="D20" s="35" t="s">
        <v>345</v>
      </c>
      <c r="E20" s="28"/>
      <c r="F20" s="28"/>
      <c r="G20" s="27" t="s">
        <v>1008</v>
      </c>
      <c r="H20" s="28"/>
    </row>
    <row r="21" ht="14.25" customHeight="1">
      <c r="A21" s="27" t="s">
        <v>37</v>
      </c>
      <c r="B21" s="27" t="s">
        <v>983</v>
      </c>
      <c r="C21" s="35"/>
      <c r="D21" s="35" t="s">
        <v>345</v>
      </c>
      <c r="E21" s="27"/>
      <c r="F21" s="27"/>
      <c r="G21" s="27" t="s">
        <v>1009</v>
      </c>
      <c r="H21" s="28"/>
    </row>
    <row r="22" ht="14.25" customHeight="1">
      <c r="A22" s="27" t="s">
        <v>37</v>
      </c>
      <c r="B22" s="27" t="s">
        <v>983</v>
      </c>
      <c r="C22" s="35"/>
      <c r="D22" s="35" t="s">
        <v>345</v>
      </c>
      <c r="E22" s="28"/>
      <c r="F22" s="28"/>
      <c r="G22" s="31" t="s">
        <v>1010</v>
      </c>
      <c r="H22" s="28"/>
    </row>
    <row r="23" ht="14.25" customHeight="1">
      <c r="A23" s="27" t="s">
        <v>37</v>
      </c>
      <c r="B23" s="27" t="s">
        <v>983</v>
      </c>
      <c r="C23" s="35"/>
      <c r="D23" s="35" t="s">
        <v>345</v>
      </c>
      <c r="E23" s="28"/>
      <c r="F23" s="28"/>
      <c r="G23" s="31" t="s">
        <v>1011</v>
      </c>
      <c r="H23" s="28"/>
    </row>
    <row r="24" ht="14.25" customHeight="1">
      <c r="A24" s="27" t="s">
        <v>37</v>
      </c>
      <c r="B24" s="27" t="s">
        <v>983</v>
      </c>
      <c r="C24" s="27"/>
      <c r="D24" s="27" t="s">
        <v>998</v>
      </c>
      <c r="E24" s="28"/>
      <c r="F24" s="28"/>
      <c r="G24" s="27" t="s">
        <v>1012</v>
      </c>
      <c r="H24" s="28"/>
    </row>
    <row r="25" ht="14.25" customHeight="1">
      <c r="A25" s="27" t="s">
        <v>37</v>
      </c>
      <c r="B25" s="27" t="s">
        <v>983</v>
      </c>
      <c r="C25" s="37"/>
      <c r="D25" s="37" t="s">
        <v>1000</v>
      </c>
      <c r="E25" s="28"/>
      <c r="F25" s="28"/>
      <c r="G25" s="27" t="s">
        <v>1013</v>
      </c>
      <c r="H25" s="28"/>
    </row>
    <row r="26" ht="14.25" customHeight="1">
      <c r="A26" s="27" t="s">
        <v>258</v>
      </c>
      <c r="B26" s="32" t="s">
        <v>1014</v>
      </c>
      <c r="C26" s="27" t="s">
        <v>21</v>
      </c>
      <c r="D26" s="27" t="s">
        <v>388</v>
      </c>
      <c r="E26" s="27" t="s">
        <v>993</v>
      </c>
      <c r="F26" s="27" t="s">
        <v>975</v>
      </c>
      <c r="G26" s="40"/>
      <c r="H26" s="28"/>
    </row>
    <row r="27" ht="14.25" customHeight="1">
      <c r="A27" s="27" t="s">
        <v>258</v>
      </c>
      <c r="B27" s="32" t="s">
        <v>1015</v>
      </c>
      <c r="C27" s="27" t="s">
        <v>21</v>
      </c>
      <c r="D27" s="27" t="s">
        <v>388</v>
      </c>
      <c r="E27" s="27" t="s">
        <v>993</v>
      </c>
      <c r="F27" s="27" t="s">
        <v>975</v>
      </c>
      <c r="G27" s="28"/>
      <c r="H27" s="28"/>
    </row>
    <row r="28" ht="14.25" customHeight="1">
      <c r="A28" s="27" t="s">
        <v>258</v>
      </c>
      <c r="B28" s="32" t="s">
        <v>1016</v>
      </c>
      <c r="C28" s="27" t="s">
        <v>21</v>
      </c>
      <c r="D28" s="27" t="s">
        <v>388</v>
      </c>
      <c r="E28" s="27" t="s">
        <v>993</v>
      </c>
      <c r="F28" s="27" t="s">
        <v>975</v>
      </c>
      <c r="G28" s="28"/>
      <c r="H28" s="28"/>
    </row>
    <row r="29" ht="14.25" customHeight="1">
      <c r="A29" s="27" t="s">
        <v>258</v>
      </c>
      <c r="B29" s="32" t="s">
        <v>1017</v>
      </c>
      <c r="C29" s="27" t="s">
        <v>21</v>
      </c>
      <c r="D29" s="27" t="s">
        <v>388</v>
      </c>
      <c r="E29" s="27" t="s">
        <v>993</v>
      </c>
      <c r="F29" s="27" t="s">
        <v>975</v>
      </c>
      <c r="G29" s="28"/>
      <c r="H29" s="28"/>
    </row>
    <row r="30" ht="14.25" customHeight="1">
      <c r="A30" s="27" t="s">
        <v>258</v>
      </c>
      <c r="B30" s="32" t="s">
        <v>1018</v>
      </c>
      <c r="C30" s="27" t="s">
        <v>21</v>
      </c>
      <c r="D30" s="27" t="s">
        <v>388</v>
      </c>
      <c r="E30" s="27" t="s">
        <v>993</v>
      </c>
      <c r="F30" s="27" t="s">
        <v>975</v>
      </c>
      <c r="G30" s="28"/>
      <c r="H30" s="28"/>
    </row>
    <row r="31" ht="14.25" customHeight="1">
      <c r="A31" s="27" t="s">
        <v>258</v>
      </c>
      <c r="B31" s="32" t="s">
        <v>1019</v>
      </c>
      <c r="C31" s="27" t="s">
        <v>21</v>
      </c>
      <c r="D31" s="27" t="s">
        <v>388</v>
      </c>
      <c r="E31" s="27" t="s">
        <v>993</v>
      </c>
      <c r="F31" s="27" t="s">
        <v>975</v>
      </c>
      <c r="G31" s="28"/>
      <c r="H31" s="28"/>
    </row>
    <row r="32" ht="14.25" customHeight="1">
      <c r="A32" s="27" t="s">
        <v>258</v>
      </c>
      <c r="B32" s="32" t="s">
        <v>1020</v>
      </c>
      <c r="C32" s="27" t="s">
        <v>21</v>
      </c>
      <c r="D32" s="27" t="s">
        <v>388</v>
      </c>
      <c r="E32" s="27" t="s">
        <v>993</v>
      </c>
      <c r="F32" s="27" t="s">
        <v>975</v>
      </c>
      <c r="G32" s="28"/>
      <c r="H32" s="28"/>
    </row>
    <row r="33" ht="14.25" customHeight="1">
      <c r="A33" s="27" t="s">
        <v>258</v>
      </c>
      <c r="B33" s="32" t="s">
        <v>1021</v>
      </c>
      <c r="C33" s="27" t="s">
        <v>21</v>
      </c>
      <c r="D33" s="27" t="s">
        <v>388</v>
      </c>
      <c r="E33" s="27" t="s">
        <v>993</v>
      </c>
      <c r="F33" s="27" t="s">
        <v>975</v>
      </c>
      <c r="G33" s="28"/>
      <c r="H33" s="28"/>
    </row>
    <row r="34" ht="14.25" customHeight="1">
      <c r="A34" s="41" t="s">
        <v>258</v>
      </c>
      <c r="B34" s="42" t="s">
        <v>1022</v>
      </c>
      <c r="C34" s="27" t="s">
        <v>21</v>
      </c>
      <c r="D34" s="41" t="s">
        <v>388</v>
      </c>
      <c r="E34" s="41" t="s">
        <v>974</v>
      </c>
      <c r="F34" s="41" t="s">
        <v>975</v>
      </c>
      <c r="G34" s="43"/>
      <c r="H34" s="28"/>
    </row>
    <row r="35" ht="14.25" customHeight="1">
      <c r="A35" s="41" t="s">
        <v>258</v>
      </c>
      <c r="B35" s="42" t="s">
        <v>1023</v>
      </c>
      <c r="C35" s="27" t="s">
        <v>21</v>
      </c>
      <c r="D35" s="41" t="s">
        <v>388</v>
      </c>
      <c r="E35" s="41" t="s">
        <v>993</v>
      </c>
      <c r="F35" s="41" t="s">
        <v>975</v>
      </c>
      <c r="G35" s="43"/>
      <c r="H35" s="28"/>
    </row>
    <row r="36" ht="14.25" customHeight="1">
      <c r="A36" s="41" t="s">
        <v>258</v>
      </c>
      <c r="B36" s="42" t="s">
        <v>1024</v>
      </c>
      <c r="C36" s="27" t="s">
        <v>21</v>
      </c>
      <c r="D36" s="41" t="s">
        <v>388</v>
      </c>
      <c r="E36" s="41" t="s">
        <v>993</v>
      </c>
      <c r="F36" s="41" t="s">
        <v>975</v>
      </c>
      <c r="G36" s="43"/>
      <c r="H36" s="28"/>
    </row>
    <row r="37" ht="14.25" customHeight="1">
      <c r="A37" s="27" t="s">
        <v>54</v>
      </c>
      <c r="B37" s="44" t="s">
        <v>1025</v>
      </c>
      <c r="C37" s="27" t="s">
        <v>22</v>
      </c>
      <c r="D37" s="27" t="s">
        <v>55</v>
      </c>
      <c r="E37" s="27"/>
      <c r="F37" s="27" t="s">
        <v>996</v>
      </c>
      <c r="G37" s="27" t="s">
        <v>1026</v>
      </c>
      <c r="H37" s="28"/>
    </row>
    <row r="38" ht="14.25" customHeight="1">
      <c r="A38" s="27" t="s">
        <v>60</v>
      </c>
      <c r="B38" s="32" t="s">
        <v>1027</v>
      </c>
      <c r="C38" s="27" t="s">
        <v>21</v>
      </c>
      <c r="D38" s="27" t="s">
        <v>59</v>
      </c>
      <c r="E38" s="27" t="s">
        <v>993</v>
      </c>
      <c r="F38" s="27" t="s">
        <v>975</v>
      </c>
      <c r="G38" s="45"/>
      <c r="H38" s="28"/>
    </row>
    <row r="39" ht="14.25" customHeight="1">
      <c r="A39" s="27" t="s">
        <v>60</v>
      </c>
      <c r="B39" s="46" t="s">
        <v>1028</v>
      </c>
      <c r="C39" s="27" t="s">
        <v>21</v>
      </c>
      <c r="D39" s="27" t="s">
        <v>59</v>
      </c>
      <c r="E39" s="27" t="s">
        <v>993</v>
      </c>
      <c r="F39" s="27" t="s">
        <v>975</v>
      </c>
      <c r="G39" s="45"/>
      <c r="H39" s="28"/>
    </row>
    <row r="40" ht="14.25" customHeight="1">
      <c r="A40" s="27" t="s">
        <v>60</v>
      </c>
      <c r="B40" s="46" t="s">
        <v>1029</v>
      </c>
      <c r="C40" s="27" t="s">
        <v>21</v>
      </c>
      <c r="D40" s="27" t="s">
        <v>59</v>
      </c>
      <c r="E40" s="27" t="s">
        <v>993</v>
      </c>
      <c r="F40" s="27" t="s">
        <v>975</v>
      </c>
      <c r="G40" s="45"/>
      <c r="H40" s="28"/>
    </row>
    <row r="41" ht="14.25" customHeight="1">
      <c r="A41" s="27" t="s">
        <v>60</v>
      </c>
      <c r="B41" s="32" t="s">
        <v>1030</v>
      </c>
      <c r="C41" s="27" t="s">
        <v>21</v>
      </c>
      <c r="D41" s="27" t="s">
        <v>59</v>
      </c>
      <c r="E41" s="27" t="s">
        <v>974</v>
      </c>
      <c r="F41" s="27" t="s">
        <v>975</v>
      </c>
      <c r="G41" s="45"/>
      <c r="H41" s="28"/>
    </row>
    <row r="42" ht="14.25" customHeight="1">
      <c r="A42" s="27" t="s">
        <v>60</v>
      </c>
      <c r="B42" s="32" t="s">
        <v>1031</v>
      </c>
      <c r="C42" s="27" t="s">
        <v>21</v>
      </c>
      <c r="D42" s="27" t="s">
        <v>59</v>
      </c>
      <c r="E42" s="27" t="s">
        <v>974</v>
      </c>
      <c r="F42" s="27" t="s">
        <v>975</v>
      </c>
      <c r="G42" s="45"/>
      <c r="H42" s="28"/>
    </row>
    <row r="43" ht="14.25" customHeight="1">
      <c r="A43" s="27" t="s">
        <v>60</v>
      </c>
      <c r="B43" s="46" t="s">
        <v>1032</v>
      </c>
      <c r="C43" s="27" t="s">
        <v>21</v>
      </c>
      <c r="D43" s="27" t="s">
        <v>59</v>
      </c>
      <c r="E43" s="27" t="s">
        <v>974</v>
      </c>
      <c r="F43" s="27" t="s">
        <v>975</v>
      </c>
      <c r="G43" s="45"/>
      <c r="H43" s="28"/>
    </row>
    <row r="44" ht="14.25" customHeight="1">
      <c r="A44" s="27" t="s">
        <v>60</v>
      </c>
      <c r="B44" s="46" t="s">
        <v>1033</v>
      </c>
      <c r="C44" s="27" t="s">
        <v>21</v>
      </c>
      <c r="D44" s="27" t="s">
        <v>59</v>
      </c>
      <c r="E44" s="27" t="s">
        <v>974</v>
      </c>
      <c r="F44" s="27" t="s">
        <v>975</v>
      </c>
      <c r="G44" s="45"/>
      <c r="H44" s="28"/>
    </row>
    <row r="45" ht="14.25" customHeight="1">
      <c r="A45" s="27" t="s">
        <v>1034</v>
      </c>
      <c r="B45" s="47" t="s">
        <v>1035</v>
      </c>
      <c r="C45" s="27" t="s">
        <v>22</v>
      </c>
      <c r="D45" s="27" t="s">
        <v>59</v>
      </c>
      <c r="E45" s="27"/>
      <c r="F45" s="27" t="s">
        <v>996</v>
      </c>
      <c r="G45" s="48" t="s">
        <v>1036</v>
      </c>
      <c r="H45" s="28"/>
    </row>
    <row r="46" ht="14.25" customHeight="1">
      <c r="A46" s="27" t="s">
        <v>60</v>
      </c>
      <c r="B46" s="49" t="s">
        <v>1037</v>
      </c>
      <c r="C46" s="27" t="s">
        <v>22</v>
      </c>
      <c r="D46" s="27" t="s">
        <v>59</v>
      </c>
      <c r="E46" s="27"/>
      <c r="F46" s="27" t="s">
        <v>996</v>
      </c>
      <c r="G46" s="48" t="s">
        <v>1038</v>
      </c>
      <c r="H46" s="28"/>
    </row>
    <row r="47" ht="14.25" customHeight="1">
      <c r="A47" s="27" t="s">
        <v>1034</v>
      </c>
      <c r="B47" s="30" t="s">
        <v>1039</v>
      </c>
      <c r="C47" s="27" t="s">
        <v>22</v>
      </c>
      <c r="D47" s="27" t="s">
        <v>98</v>
      </c>
      <c r="E47" s="27"/>
      <c r="F47" s="27" t="s">
        <v>996</v>
      </c>
      <c r="G47" s="27" t="s">
        <v>1040</v>
      </c>
      <c r="H47" s="28"/>
    </row>
    <row r="48" ht="14.25" customHeight="1">
      <c r="A48" s="27" t="s">
        <v>69</v>
      </c>
      <c r="B48" s="50" t="s">
        <v>1041</v>
      </c>
      <c r="C48" s="27" t="s">
        <v>21</v>
      </c>
      <c r="D48" s="27" t="s">
        <v>931</v>
      </c>
      <c r="E48" s="27" t="s">
        <v>993</v>
      </c>
      <c r="F48" s="27" t="s">
        <v>975</v>
      </c>
      <c r="G48" s="28"/>
      <c r="H48" s="28"/>
    </row>
    <row r="49" ht="14.25" customHeight="1">
      <c r="A49" s="27" t="s">
        <v>69</v>
      </c>
      <c r="B49" s="51" t="s">
        <v>1042</v>
      </c>
      <c r="C49" s="27" t="s">
        <v>21</v>
      </c>
      <c r="D49" s="27" t="s">
        <v>931</v>
      </c>
      <c r="E49" s="27" t="s">
        <v>993</v>
      </c>
      <c r="F49" s="27" t="s">
        <v>975</v>
      </c>
      <c r="G49" s="28"/>
      <c r="H49" s="28"/>
    </row>
    <row r="50" ht="14.25" customHeight="1">
      <c r="A50" s="27" t="s">
        <v>69</v>
      </c>
      <c r="B50" s="52" t="s">
        <v>1043</v>
      </c>
      <c r="C50" s="27" t="s">
        <v>21</v>
      </c>
      <c r="D50" s="27" t="s">
        <v>931</v>
      </c>
      <c r="E50" s="27" t="s">
        <v>974</v>
      </c>
      <c r="F50" s="27" t="s">
        <v>975</v>
      </c>
      <c r="G50" s="28"/>
      <c r="H50" s="28"/>
    </row>
    <row r="51" ht="14.25" customHeight="1">
      <c r="A51" s="27" t="s">
        <v>69</v>
      </c>
      <c r="B51" s="53" t="s">
        <v>1044</v>
      </c>
      <c r="C51" s="27" t="s">
        <v>21</v>
      </c>
      <c r="D51" s="27" t="s">
        <v>931</v>
      </c>
      <c r="E51" s="27" t="s">
        <v>974</v>
      </c>
      <c r="F51" s="27" t="s">
        <v>975</v>
      </c>
      <c r="G51" s="28"/>
      <c r="H51" s="28"/>
    </row>
    <row r="52" ht="14.25" customHeight="1">
      <c r="A52" s="27" t="s">
        <v>69</v>
      </c>
      <c r="B52" s="53" t="s">
        <v>1045</v>
      </c>
      <c r="C52" s="27" t="s">
        <v>21</v>
      </c>
      <c r="D52" s="27" t="s">
        <v>931</v>
      </c>
      <c r="E52" s="27" t="s">
        <v>993</v>
      </c>
      <c r="F52" s="27" t="s">
        <v>975</v>
      </c>
      <c r="G52" s="28"/>
      <c r="H52" s="28"/>
    </row>
    <row r="53" ht="14.25" customHeight="1">
      <c r="A53" s="27" t="s">
        <v>69</v>
      </c>
      <c r="B53" s="53" t="s">
        <v>1046</v>
      </c>
      <c r="C53" s="27" t="s">
        <v>21</v>
      </c>
      <c r="D53" s="27" t="s">
        <v>931</v>
      </c>
      <c r="E53" s="27" t="s">
        <v>993</v>
      </c>
      <c r="F53" s="27" t="s">
        <v>975</v>
      </c>
      <c r="G53" s="28"/>
      <c r="H53" s="43"/>
      <c r="I53" s="54"/>
      <c r="J53" s="54"/>
      <c r="K53" s="54"/>
      <c r="L53" s="54"/>
      <c r="M53" s="54"/>
      <c r="N53" s="54"/>
      <c r="O53" s="54"/>
      <c r="P53" s="54"/>
      <c r="Q53" s="54"/>
      <c r="R53" s="54"/>
      <c r="S53" s="54"/>
      <c r="T53" s="54"/>
      <c r="U53" s="54"/>
      <c r="V53" s="54"/>
      <c r="W53" s="54"/>
      <c r="X53" s="54"/>
      <c r="Y53" s="54"/>
      <c r="Z53" s="54"/>
      <c r="AA53" s="54"/>
      <c r="AB53" s="54"/>
    </row>
    <row r="54" ht="14.25" customHeight="1">
      <c r="A54" s="27" t="s">
        <v>69</v>
      </c>
      <c r="B54" s="55" t="s">
        <v>1047</v>
      </c>
      <c r="C54" s="27" t="s">
        <v>21</v>
      </c>
      <c r="D54" s="27" t="s">
        <v>931</v>
      </c>
      <c r="E54" s="27" t="s">
        <v>974</v>
      </c>
      <c r="F54" s="27" t="s">
        <v>975</v>
      </c>
      <c r="G54" s="28"/>
      <c r="H54" s="43"/>
      <c r="I54" s="54"/>
      <c r="J54" s="54"/>
      <c r="K54" s="54"/>
      <c r="L54" s="54"/>
      <c r="M54" s="54"/>
      <c r="N54" s="54"/>
      <c r="O54" s="54"/>
      <c r="P54" s="54"/>
      <c r="Q54" s="54"/>
      <c r="R54" s="54"/>
      <c r="S54" s="54"/>
      <c r="T54" s="54"/>
      <c r="U54" s="54"/>
      <c r="V54" s="54"/>
      <c r="W54" s="54"/>
      <c r="X54" s="54"/>
      <c r="Y54" s="54"/>
      <c r="Z54" s="54"/>
      <c r="AA54" s="54"/>
      <c r="AB54" s="54"/>
    </row>
    <row r="55" ht="14.25" customHeight="1">
      <c r="A55" s="27" t="s">
        <v>69</v>
      </c>
      <c r="B55" s="53" t="s">
        <v>1048</v>
      </c>
      <c r="C55" s="27" t="s">
        <v>21</v>
      </c>
      <c r="D55" s="27" t="s">
        <v>931</v>
      </c>
      <c r="E55" s="27" t="s">
        <v>974</v>
      </c>
      <c r="F55" s="27" t="s">
        <v>975</v>
      </c>
      <c r="G55" s="28"/>
      <c r="H55" s="43"/>
      <c r="I55" s="54"/>
      <c r="J55" s="54"/>
      <c r="K55" s="54"/>
      <c r="L55" s="54"/>
      <c r="M55" s="54"/>
      <c r="N55" s="54"/>
      <c r="O55" s="54"/>
      <c r="P55" s="54"/>
      <c r="Q55" s="54"/>
      <c r="R55" s="54"/>
      <c r="S55" s="54"/>
      <c r="T55" s="54"/>
      <c r="U55" s="54"/>
      <c r="V55" s="54"/>
      <c r="W55" s="54"/>
      <c r="X55" s="54"/>
      <c r="Y55" s="54"/>
      <c r="Z55" s="54"/>
      <c r="AA55" s="54"/>
      <c r="AB55" s="54"/>
    </row>
    <row r="56" ht="14.25" customHeight="1">
      <c r="A56" s="27" t="s">
        <v>69</v>
      </c>
      <c r="B56" s="53" t="s">
        <v>1049</v>
      </c>
      <c r="C56" s="27" t="s">
        <v>21</v>
      </c>
      <c r="D56" s="27" t="s">
        <v>931</v>
      </c>
      <c r="E56" s="27" t="s">
        <v>974</v>
      </c>
      <c r="F56" s="27" t="s">
        <v>975</v>
      </c>
      <c r="G56" s="28"/>
      <c r="H56" s="28"/>
    </row>
    <row r="57" ht="14.25" customHeight="1">
      <c r="A57" s="27" t="s">
        <v>69</v>
      </c>
      <c r="B57" s="53" t="s">
        <v>1050</v>
      </c>
      <c r="C57" s="27" t="s">
        <v>21</v>
      </c>
      <c r="D57" s="27" t="s">
        <v>931</v>
      </c>
      <c r="E57" s="27" t="s">
        <v>974</v>
      </c>
      <c r="F57" s="27" t="s">
        <v>975</v>
      </c>
      <c r="G57" s="28"/>
      <c r="H57" s="28"/>
    </row>
    <row r="58" ht="14.25" customHeight="1">
      <c r="A58" s="27" t="s">
        <v>69</v>
      </c>
      <c r="B58" s="32" t="s">
        <v>1051</v>
      </c>
      <c r="C58" s="27" t="s">
        <v>22</v>
      </c>
      <c r="D58" s="27" t="s">
        <v>931</v>
      </c>
      <c r="E58" s="27"/>
      <c r="F58" s="27" t="s">
        <v>996</v>
      </c>
      <c r="G58" s="28"/>
      <c r="H58" s="28"/>
    </row>
    <row r="59" ht="14.25" customHeight="1">
      <c r="A59" s="27" t="s">
        <v>69</v>
      </c>
      <c r="B59" s="32" t="s">
        <v>1052</v>
      </c>
      <c r="C59" s="27" t="s">
        <v>22</v>
      </c>
      <c r="D59" s="27" t="s">
        <v>931</v>
      </c>
      <c r="E59" s="27"/>
      <c r="F59" s="27" t="s">
        <v>996</v>
      </c>
      <c r="G59" s="28"/>
      <c r="H59" s="28"/>
    </row>
    <row r="60" ht="14.25" customHeight="1">
      <c r="A60" s="27" t="s">
        <v>69</v>
      </c>
      <c r="B60" s="32" t="s">
        <v>1053</v>
      </c>
      <c r="C60" s="27" t="s">
        <v>22</v>
      </c>
      <c r="D60" s="27" t="s">
        <v>931</v>
      </c>
      <c r="E60" s="27"/>
      <c r="F60" s="27" t="s">
        <v>996</v>
      </c>
      <c r="G60" s="28"/>
      <c r="H60" s="28"/>
    </row>
    <row r="61" ht="14.25" customHeight="1">
      <c r="A61" s="27" t="s">
        <v>69</v>
      </c>
      <c r="B61" s="32" t="s">
        <v>1054</v>
      </c>
      <c r="C61" s="27" t="s">
        <v>22</v>
      </c>
      <c r="D61" s="27" t="s">
        <v>931</v>
      </c>
      <c r="E61" s="27"/>
      <c r="F61" s="27" t="s">
        <v>996</v>
      </c>
      <c r="G61" s="28"/>
      <c r="H61" s="28"/>
    </row>
    <row r="62" ht="14.25" customHeight="1">
      <c r="A62" s="27" t="s">
        <v>69</v>
      </c>
      <c r="B62" s="32" t="s">
        <v>1055</v>
      </c>
      <c r="C62" s="27" t="s">
        <v>22</v>
      </c>
      <c r="D62" s="27" t="s">
        <v>931</v>
      </c>
      <c r="E62" s="27"/>
      <c r="F62" s="27" t="s">
        <v>996</v>
      </c>
      <c r="G62" s="28"/>
      <c r="H62" s="28"/>
    </row>
    <row r="63" ht="14.25" customHeight="1">
      <c r="A63" s="27" t="s">
        <v>69</v>
      </c>
      <c r="B63" s="32" t="s">
        <v>1056</v>
      </c>
      <c r="C63" s="27" t="s">
        <v>22</v>
      </c>
      <c r="D63" s="27" t="s">
        <v>931</v>
      </c>
      <c r="E63" s="27"/>
      <c r="F63" s="27" t="s">
        <v>996</v>
      </c>
      <c r="G63" s="28"/>
      <c r="H63" s="28"/>
    </row>
    <row r="64" ht="14.25" customHeight="1">
      <c r="A64" s="27" t="s">
        <v>69</v>
      </c>
      <c r="B64" s="32" t="s">
        <v>1057</v>
      </c>
      <c r="C64" s="27" t="s">
        <v>22</v>
      </c>
      <c r="D64" s="27" t="s">
        <v>931</v>
      </c>
      <c r="E64" s="27"/>
      <c r="F64" s="27" t="s">
        <v>996</v>
      </c>
      <c r="G64" s="28"/>
      <c r="H64" s="28"/>
    </row>
    <row r="65" ht="14.25" customHeight="1">
      <c r="A65" s="27" t="s">
        <v>69</v>
      </c>
      <c r="B65" s="32" t="s">
        <v>1058</v>
      </c>
      <c r="C65" s="27" t="s">
        <v>22</v>
      </c>
      <c r="D65" s="27" t="s">
        <v>931</v>
      </c>
      <c r="E65" s="27"/>
      <c r="F65" s="27" t="s">
        <v>996</v>
      </c>
      <c r="G65" s="28"/>
      <c r="H65" s="28"/>
    </row>
    <row r="66" ht="14.25" customHeight="1">
      <c r="A66" s="27" t="s">
        <v>69</v>
      </c>
      <c r="B66" s="32" t="s">
        <v>1059</v>
      </c>
      <c r="C66" s="27" t="s">
        <v>22</v>
      </c>
      <c r="D66" s="27" t="s">
        <v>931</v>
      </c>
      <c r="E66" s="27"/>
      <c r="F66" s="27" t="s">
        <v>996</v>
      </c>
      <c r="G66" s="28"/>
      <c r="H66" s="28"/>
    </row>
    <row r="67" ht="14.25" customHeight="1">
      <c r="A67" s="27" t="s">
        <v>69</v>
      </c>
      <c r="B67" s="32" t="s">
        <v>1060</v>
      </c>
      <c r="C67" s="27" t="s">
        <v>22</v>
      </c>
      <c r="D67" s="27" t="s">
        <v>931</v>
      </c>
      <c r="E67" s="27"/>
      <c r="F67" s="27" t="s">
        <v>996</v>
      </c>
      <c r="G67" s="28"/>
      <c r="H67" s="28"/>
    </row>
    <row r="68" ht="14.25" customHeight="1">
      <c r="A68" s="27" t="s">
        <v>69</v>
      </c>
      <c r="B68" s="30" t="s">
        <v>1061</v>
      </c>
      <c r="C68" s="27" t="s">
        <v>22</v>
      </c>
      <c r="D68" s="27" t="s">
        <v>931</v>
      </c>
      <c r="E68" s="27"/>
      <c r="F68" s="27" t="s">
        <v>996</v>
      </c>
      <c r="G68" s="28"/>
      <c r="H68" s="28"/>
    </row>
    <row r="69" ht="14.25" customHeight="1">
      <c r="A69" s="27" t="s">
        <v>69</v>
      </c>
      <c r="B69" s="56" t="s">
        <v>1062</v>
      </c>
      <c r="C69" s="27" t="s">
        <v>22</v>
      </c>
      <c r="D69" s="27" t="s">
        <v>931</v>
      </c>
      <c r="E69" s="27"/>
      <c r="F69" s="27" t="s">
        <v>996</v>
      </c>
      <c r="G69" s="28"/>
      <c r="H69" s="28"/>
    </row>
    <row r="70" ht="14.25" customHeight="1">
      <c r="A70" s="27" t="s">
        <v>69</v>
      </c>
      <c r="B70" s="32" t="s">
        <v>1063</v>
      </c>
      <c r="C70" s="27" t="s">
        <v>22</v>
      </c>
      <c r="D70" s="27" t="s">
        <v>931</v>
      </c>
      <c r="E70" s="27"/>
      <c r="F70" s="27" t="s">
        <v>996</v>
      </c>
      <c r="G70" s="28"/>
      <c r="H70" s="28"/>
    </row>
    <row r="71" ht="14.25" customHeight="1">
      <c r="A71" s="27" t="s">
        <v>69</v>
      </c>
      <c r="B71" s="32" t="s">
        <v>1064</v>
      </c>
      <c r="C71" s="27" t="s">
        <v>22</v>
      </c>
      <c r="D71" s="27" t="s">
        <v>931</v>
      </c>
      <c r="E71" s="27"/>
      <c r="F71" s="27" t="s">
        <v>996</v>
      </c>
      <c r="G71" s="28"/>
      <c r="H71" s="28"/>
    </row>
    <row r="72" ht="14.25" customHeight="1">
      <c r="A72" s="27" t="s">
        <v>69</v>
      </c>
      <c r="B72" s="30" t="s">
        <v>1065</v>
      </c>
      <c r="C72" s="27" t="s">
        <v>22</v>
      </c>
      <c r="D72" s="27" t="s">
        <v>931</v>
      </c>
      <c r="E72" s="27"/>
      <c r="F72" s="27" t="s">
        <v>996</v>
      </c>
      <c r="G72" s="28"/>
      <c r="H72" s="28"/>
    </row>
    <row r="73" ht="14.25" customHeight="1">
      <c r="A73" s="27" t="s">
        <v>69</v>
      </c>
      <c r="B73" s="30" t="s">
        <v>1066</v>
      </c>
      <c r="C73" s="27" t="s">
        <v>22</v>
      </c>
      <c r="D73" s="27" t="s">
        <v>931</v>
      </c>
      <c r="E73" s="27"/>
      <c r="F73" s="27" t="s">
        <v>996</v>
      </c>
      <c r="G73" s="28"/>
      <c r="H73" s="28"/>
    </row>
    <row r="74" ht="14.25" customHeight="1">
      <c r="A74" s="27" t="s">
        <v>69</v>
      </c>
      <c r="B74" s="32" t="s">
        <v>1067</v>
      </c>
      <c r="C74" s="27" t="s">
        <v>22</v>
      </c>
      <c r="D74" s="27" t="s">
        <v>931</v>
      </c>
      <c r="E74" s="27"/>
      <c r="F74" s="27" t="s">
        <v>996</v>
      </c>
      <c r="G74" s="28"/>
      <c r="H74" s="28"/>
    </row>
    <row r="75" ht="14.25" customHeight="1">
      <c r="A75" s="27" t="s">
        <v>69</v>
      </c>
      <c r="B75" s="32" t="s">
        <v>1068</v>
      </c>
      <c r="C75" s="27" t="s">
        <v>22</v>
      </c>
      <c r="D75" s="27" t="s">
        <v>931</v>
      </c>
      <c r="E75" s="27"/>
      <c r="F75" s="27" t="s">
        <v>996</v>
      </c>
      <c r="G75" s="27"/>
      <c r="H75" s="28"/>
    </row>
    <row r="76" ht="14.25" customHeight="1">
      <c r="A76" s="27" t="s">
        <v>69</v>
      </c>
      <c r="B76" s="32" t="s">
        <v>1069</v>
      </c>
      <c r="C76" s="27" t="s">
        <v>22</v>
      </c>
      <c r="D76" s="27" t="s">
        <v>931</v>
      </c>
      <c r="E76" s="27"/>
      <c r="F76" s="27" t="s">
        <v>996</v>
      </c>
      <c r="G76" s="27"/>
      <c r="H76" s="28"/>
    </row>
    <row r="77" ht="14.25" customHeight="1">
      <c r="A77" s="27" t="s">
        <v>69</v>
      </c>
      <c r="B77" s="27" t="s">
        <v>1070</v>
      </c>
      <c r="C77" s="27" t="s">
        <v>22</v>
      </c>
      <c r="D77" s="27" t="s">
        <v>931</v>
      </c>
      <c r="E77" s="27"/>
      <c r="F77" s="27" t="s">
        <v>996</v>
      </c>
      <c r="G77" s="27" t="s">
        <v>1071</v>
      </c>
      <c r="H77" s="28"/>
    </row>
    <row r="78" ht="14.25" customHeight="1">
      <c r="A78" s="27" t="s">
        <v>69</v>
      </c>
      <c r="B78" s="32" t="s">
        <v>1072</v>
      </c>
      <c r="C78" s="27" t="s">
        <v>22</v>
      </c>
      <c r="D78" s="27" t="s">
        <v>931</v>
      </c>
      <c r="E78" s="27"/>
      <c r="F78" s="27" t="s">
        <v>996</v>
      </c>
      <c r="G78" s="28"/>
      <c r="H78" s="28"/>
    </row>
    <row r="79" ht="14.25" customHeight="1">
      <c r="A79" s="27" t="s">
        <v>69</v>
      </c>
      <c r="B79" s="32" t="s">
        <v>1067</v>
      </c>
      <c r="C79" s="27" t="s">
        <v>22</v>
      </c>
      <c r="D79" s="27" t="s">
        <v>931</v>
      </c>
      <c r="E79" s="27"/>
      <c r="F79" s="27" t="s">
        <v>996</v>
      </c>
      <c r="G79" s="28"/>
      <c r="H79" s="28"/>
    </row>
    <row r="80" ht="14.25" customHeight="1">
      <c r="A80" s="27" t="s">
        <v>69</v>
      </c>
      <c r="B80" s="32" t="s">
        <v>1073</v>
      </c>
      <c r="C80" s="27" t="s">
        <v>22</v>
      </c>
      <c r="D80" s="27" t="s">
        <v>931</v>
      </c>
      <c r="E80" s="27"/>
      <c r="F80" s="27" t="s">
        <v>996</v>
      </c>
      <c r="G80" s="28"/>
      <c r="H80" s="28"/>
    </row>
    <row r="81" ht="14.25" customHeight="1">
      <c r="A81" s="27" t="s">
        <v>69</v>
      </c>
      <c r="B81" s="32" t="s">
        <v>1074</v>
      </c>
      <c r="C81" s="27" t="s">
        <v>22</v>
      </c>
      <c r="D81" s="27" t="s">
        <v>931</v>
      </c>
      <c r="E81" s="27"/>
      <c r="F81" s="27" t="s">
        <v>996</v>
      </c>
      <c r="G81" s="28"/>
      <c r="H81" s="28"/>
    </row>
    <row r="82" ht="14.25" customHeight="1">
      <c r="A82" s="27" t="s">
        <v>69</v>
      </c>
      <c r="B82" s="32" t="s">
        <v>1075</v>
      </c>
      <c r="C82" s="27" t="s">
        <v>22</v>
      </c>
      <c r="D82" s="27" t="s">
        <v>931</v>
      </c>
      <c r="E82" s="27"/>
      <c r="F82" s="27" t="s">
        <v>996</v>
      </c>
      <c r="G82" s="28"/>
      <c r="H82" s="28"/>
    </row>
    <row r="83" ht="14.25" customHeight="1">
      <c r="A83" s="27" t="s">
        <v>69</v>
      </c>
      <c r="B83" s="56" t="s">
        <v>1076</v>
      </c>
      <c r="C83" s="27" t="s">
        <v>22</v>
      </c>
      <c r="D83" s="27" t="s">
        <v>931</v>
      </c>
      <c r="E83" s="27"/>
      <c r="F83" s="27" t="s">
        <v>996</v>
      </c>
      <c r="G83" s="27" t="s">
        <v>1077</v>
      </c>
      <c r="H83" s="28"/>
    </row>
    <row r="84" ht="14.25" customHeight="1">
      <c r="A84" s="27" t="s">
        <v>69</v>
      </c>
      <c r="B84" s="56" t="s">
        <v>1078</v>
      </c>
      <c r="C84" s="27" t="s">
        <v>22</v>
      </c>
      <c r="D84" s="27" t="s">
        <v>931</v>
      </c>
      <c r="E84" s="27"/>
      <c r="F84" s="27" t="s">
        <v>996</v>
      </c>
      <c r="G84" s="28"/>
      <c r="H84" s="28"/>
    </row>
    <row r="85" ht="14.25" customHeight="1">
      <c r="A85" s="27" t="s">
        <v>69</v>
      </c>
      <c r="B85" s="53" t="s">
        <v>1079</v>
      </c>
      <c r="C85" s="27" t="s">
        <v>22</v>
      </c>
      <c r="D85" s="27" t="s">
        <v>931</v>
      </c>
      <c r="E85" s="27"/>
      <c r="F85" s="27" t="s">
        <v>996</v>
      </c>
      <c r="G85" s="28"/>
      <c r="H85" s="28"/>
    </row>
    <row r="86" ht="14.25" customHeight="1">
      <c r="A86" s="27" t="s">
        <v>69</v>
      </c>
      <c r="B86" s="28"/>
      <c r="C86" s="27"/>
      <c r="D86" s="27" t="s">
        <v>931</v>
      </c>
      <c r="E86" s="27"/>
      <c r="F86" s="27" t="s">
        <v>996</v>
      </c>
      <c r="G86" s="57" t="s">
        <v>1080</v>
      </c>
      <c r="H86" s="28"/>
    </row>
    <row r="87" ht="14.25" customHeight="1">
      <c r="A87" s="27" t="s">
        <v>69</v>
      </c>
      <c r="B87" s="53" t="s">
        <v>1081</v>
      </c>
      <c r="C87" s="27" t="s">
        <v>22</v>
      </c>
      <c r="D87" s="27" t="s">
        <v>931</v>
      </c>
      <c r="E87" s="27"/>
      <c r="F87" s="27" t="s">
        <v>996</v>
      </c>
      <c r="G87" s="28"/>
      <c r="H87" s="28"/>
    </row>
    <row r="88" ht="14.25" customHeight="1">
      <c r="A88" s="27" t="s">
        <v>1082</v>
      </c>
      <c r="B88" s="32" t="s">
        <v>1083</v>
      </c>
      <c r="C88" s="27" t="s">
        <v>22</v>
      </c>
      <c r="D88" s="27" t="s">
        <v>931</v>
      </c>
      <c r="E88" s="27"/>
      <c r="F88" s="27" t="s">
        <v>996</v>
      </c>
      <c r="G88" s="27"/>
      <c r="H88" s="28"/>
    </row>
    <row r="89" ht="14.25" customHeight="1">
      <c r="A89" s="27" t="s">
        <v>90</v>
      </c>
      <c r="B89" s="51" t="s">
        <v>1084</v>
      </c>
      <c r="C89" s="27" t="s">
        <v>22</v>
      </c>
      <c r="D89" s="27" t="s">
        <v>89</v>
      </c>
      <c r="E89" s="27"/>
      <c r="F89" s="27" t="s">
        <v>996</v>
      </c>
      <c r="G89" s="28"/>
      <c r="H89" s="28"/>
    </row>
    <row r="90" ht="14.25" customHeight="1">
      <c r="A90" s="27" t="s">
        <v>90</v>
      </c>
      <c r="B90" s="58"/>
      <c r="C90" s="27"/>
      <c r="D90" s="27" t="s">
        <v>89</v>
      </c>
      <c r="E90" s="27"/>
      <c r="F90" s="27" t="s">
        <v>996</v>
      </c>
      <c r="G90" s="38" t="s">
        <v>1085</v>
      </c>
      <c r="H90" s="28"/>
    </row>
    <row r="91" ht="14.25" customHeight="1">
      <c r="A91" s="27" t="s">
        <v>94</v>
      </c>
      <c r="B91" s="59" t="s">
        <v>1086</v>
      </c>
      <c r="C91" s="60" t="s">
        <v>21</v>
      </c>
      <c r="D91" s="27" t="s">
        <v>93</v>
      </c>
      <c r="E91" s="27" t="s">
        <v>974</v>
      </c>
      <c r="F91" s="27" t="s">
        <v>975</v>
      </c>
      <c r="G91" s="28"/>
      <c r="H91" s="28"/>
    </row>
    <row r="92" ht="14.25" customHeight="1">
      <c r="A92" s="27" t="s">
        <v>99</v>
      </c>
      <c r="B92" s="32" t="s">
        <v>1087</v>
      </c>
      <c r="C92" s="60" t="s">
        <v>21</v>
      </c>
      <c r="D92" s="27" t="s">
        <v>938</v>
      </c>
      <c r="E92" s="27"/>
      <c r="F92" s="27" t="s">
        <v>975</v>
      </c>
      <c r="G92" s="36" t="s">
        <v>1088</v>
      </c>
      <c r="H92" s="28"/>
    </row>
    <row r="93" ht="14.25" customHeight="1">
      <c r="A93" s="27" t="s">
        <v>99</v>
      </c>
      <c r="B93" s="32" t="s">
        <v>1089</v>
      </c>
      <c r="C93" s="60" t="s">
        <v>21</v>
      </c>
      <c r="D93" s="27" t="s">
        <v>938</v>
      </c>
      <c r="E93" s="27"/>
      <c r="F93" s="27" t="s">
        <v>975</v>
      </c>
      <c r="G93" s="36" t="s">
        <v>1090</v>
      </c>
      <c r="H93" s="28"/>
    </row>
    <row r="94" ht="14.25" customHeight="1">
      <c r="A94" s="27" t="s">
        <v>99</v>
      </c>
      <c r="B94" s="61" t="s">
        <v>1091</v>
      </c>
      <c r="C94" s="60" t="s">
        <v>21</v>
      </c>
      <c r="D94" s="27" t="s">
        <v>938</v>
      </c>
      <c r="E94" s="27"/>
      <c r="F94" s="27" t="s">
        <v>975</v>
      </c>
      <c r="G94" s="36" t="s">
        <v>1092</v>
      </c>
      <c r="H94" s="28"/>
    </row>
    <row r="95" ht="14.25" customHeight="1">
      <c r="A95" s="27" t="s">
        <v>99</v>
      </c>
      <c r="B95" s="30" t="s">
        <v>1093</v>
      </c>
      <c r="C95" s="60" t="s">
        <v>21</v>
      </c>
      <c r="D95" s="27" t="s">
        <v>98</v>
      </c>
      <c r="E95" s="27"/>
      <c r="F95" s="27" t="s">
        <v>975</v>
      </c>
      <c r="G95" s="27" t="s">
        <v>1094</v>
      </c>
      <c r="H95" s="28"/>
    </row>
    <row r="96" ht="14.25" customHeight="1">
      <c r="A96" s="27" t="s">
        <v>99</v>
      </c>
      <c r="B96" s="32" t="s">
        <v>1095</v>
      </c>
      <c r="C96" s="60" t="s">
        <v>22</v>
      </c>
      <c r="D96" s="27" t="s">
        <v>938</v>
      </c>
      <c r="E96" s="27"/>
      <c r="F96" s="27" t="s">
        <v>996</v>
      </c>
      <c r="G96" s="36" t="s">
        <v>1096</v>
      </c>
      <c r="H96" s="28"/>
    </row>
    <row r="97" ht="14.25" customHeight="1">
      <c r="A97" s="27" t="s">
        <v>99</v>
      </c>
      <c r="B97" s="32" t="s">
        <v>1097</v>
      </c>
      <c r="C97" s="60" t="s">
        <v>22</v>
      </c>
      <c r="D97" s="27" t="s">
        <v>938</v>
      </c>
      <c r="E97" s="27"/>
      <c r="F97" s="27" t="s">
        <v>996</v>
      </c>
      <c r="G97" s="36" t="s">
        <v>1098</v>
      </c>
      <c r="H97" s="28"/>
    </row>
    <row r="98" ht="14.25" customHeight="1">
      <c r="A98" s="27" t="s">
        <v>99</v>
      </c>
      <c r="B98" s="30" t="s">
        <v>1099</v>
      </c>
      <c r="C98" s="60" t="s">
        <v>22</v>
      </c>
      <c r="D98" s="27" t="s">
        <v>98</v>
      </c>
      <c r="E98" s="27"/>
      <c r="F98" s="27" t="s">
        <v>996</v>
      </c>
      <c r="G98" s="27" t="s">
        <v>1100</v>
      </c>
      <c r="H98" s="28"/>
    </row>
    <row r="99" ht="14.25" customHeight="1">
      <c r="A99" s="27" t="s">
        <v>99</v>
      </c>
      <c r="B99" s="30" t="s">
        <v>1101</v>
      </c>
      <c r="C99" s="60" t="s">
        <v>22</v>
      </c>
      <c r="D99" s="27" t="s">
        <v>98</v>
      </c>
      <c r="E99" s="27"/>
      <c r="F99" s="27" t="s">
        <v>996</v>
      </c>
      <c r="G99" s="27" t="s">
        <v>1102</v>
      </c>
      <c r="H99" s="28"/>
    </row>
    <row r="100" ht="14.25" customHeight="1">
      <c r="A100" s="27" t="s">
        <v>99</v>
      </c>
      <c r="B100" s="30" t="s">
        <v>1039</v>
      </c>
      <c r="C100" s="60" t="s">
        <v>22</v>
      </c>
      <c r="D100" s="27" t="s">
        <v>98</v>
      </c>
      <c r="E100" s="27"/>
      <c r="F100" s="27" t="s">
        <v>996</v>
      </c>
      <c r="G100" s="27" t="s">
        <v>1040</v>
      </c>
      <c r="H100" s="28"/>
    </row>
    <row r="101" ht="14.25" customHeight="1">
      <c r="A101" s="27" t="s">
        <v>99</v>
      </c>
      <c r="B101" s="30" t="s">
        <v>1103</v>
      </c>
      <c r="C101" s="60" t="s">
        <v>22</v>
      </c>
      <c r="D101" s="27" t="s">
        <v>931</v>
      </c>
      <c r="E101" s="27"/>
      <c r="F101" s="27" t="s">
        <v>996</v>
      </c>
      <c r="G101" s="27"/>
      <c r="H101" s="28"/>
    </row>
    <row r="102" ht="14.25" customHeight="1">
      <c r="A102" s="27" t="s">
        <v>107</v>
      </c>
      <c r="B102" s="32" t="s">
        <v>1104</v>
      </c>
      <c r="C102" s="60" t="s">
        <v>22</v>
      </c>
      <c r="D102" s="27" t="s">
        <v>106</v>
      </c>
      <c r="E102" s="27"/>
      <c r="F102" s="27" t="s">
        <v>996</v>
      </c>
      <c r="G102" s="27" t="s">
        <v>1105</v>
      </c>
      <c r="H102" s="28"/>
    </row>
    <row r="103" ht="14.25" customHeight="1">
      <c r="A103" s="27" t="s">
        <v>107</v>
      </c>
      <c r="B103" s="32" t="s">
        <v>1106</v>
      </c>
      <c r="C103" s="60" t="s">
        <v>22</v>
      </c>
      <c r="D103" s="27" t="s">
        <v>1107</v>
      </c>
      <c r="E103" s="27"/>
      <c r="F103" s="27" t="s">
        <v>996</v>
      </c>
      <c r="G103" s="62" t="s">
        <v>1108</v>
      </c>
      <c r="H103" s="28"/>
    </row>
    <row r="104" ht="14.25" customHeight="1">
      <c r="A104" s="27" t="s">
        <v>1109</v>
      </c>
      <c r="B104" s="59" t="s">
        <v>1110</v>
      </c>
      <c r="C104" s="60" t="s">
        <v>22</v>
      </c>
      <c r="D104" s="27" t="s">
        <v>110</v>
      </c>
      <c r="E104" s="27"/>
      <c r="F104" s="27" t="s">
        <v>996</v>
      </c>
      <c r="G104" s="28"/>
      <c r="H104" s="28"/>
    </row>
    <row r="105" ht="14.25" customHeight="1">
      <c r="A105" s="27" t="s">
        <v>1109</v>
      </c>
      <c r="B105" s="47" t="s">
        <v>1111</v>
      </c>
      <c r="C105" s="60" t="s">
        <v>22</v>
      </c>
      <c r="D105" s="27" t="s">
        <v>110</v>
      </c>
      <c r="E105" s="27"/>
      <c r="F105" s="27" t="s">
        <v>996</v>
      </c>
      <c r="G105" s="28"/>
      <c r="H105" s="28"/>
    </row>
    <row r="106" ht="14.25" customHeight="1">
      <c r="A106" s="27" t="s">
        <v>1109</v>
      </c>
      <c r="B106" s="63" t="s">
        <v>1112</v>
      </c>
      <c r="C106" s="60" t="s">
        <v>22</v>
      </c>
      <c r="D106" s="27" t="s">
        <v>521</v>
      </c>
      <c r="E106" s="28"/>
      <c r="F106" s="28"/>
      <c r="G106" s="28"/>
      <c r="H106" s="28"/>
    </row>
    <row r="107" ht="14.25" customHeight="1">
      <c r="A107" s="27" t="s">
        <v>1109</v>
      </c>
      <c r="B107" s="61" t="s">
        <v>1113</v>
      </c>
      <c r="C107" s="60" t="s">
        <v>22</v>
      </c>
      <c r="D107" s="60" t="s">
        <v>521</v>
      </c>
      <c r="E107" s="28"/>
      <c r="F107" s="28"/>
      <c r="G107" s="28"/>
      <c r="H107" s="28"/>
    </row>
    <row r="108" ht="14.25" customHeight="1">
      <c r="A108" s="27" t="s">
        <v>107</v>
      </c>
      <c r="B108" s="64" t="s">
        <v>1114</v>
      </c>
      <c r="C108" s="27"/>
      <c r="D108" s="27" t="s">
        <v>114</v>
      </c>
      <c r="E108" s="27"/>
      <c r="F108" s="27"/>
      <c r="G108" s="2" t="s">
        <v>1115</v>
      </c>
      <c r="H108" s="28"/>
    </row>
    <row r="109" ht="14.25" customHeight="1">
      <c r="A109" s="27" t="s">
        <v>107</v>
      </c>
      <c r="B109" s="64" t="s">
        <v>1114</v>
      </c>
      <c r="C109" s="27"/>
      <c r="D109" s="27" t="s">
        <v>1116</v>
      </c>
      <c r="E109" s="27"/>
      <c r="F109" s="27"/>
      <c r="G109" s="62" t="s">
        <v>1117</v>
      </c>
      <c r="H109" s="28"/>
    </row>
    <row r="110" ht="14.25" customHeight="1">
      <c r="A110" s="27" t="s">
        <v>121</v>
      </c>
      <c r="B110" s="30" t="s">
        <v>1118</v>
      </c>
      <c r="C110" s="27" t="s">
        <v>22</v>
      </c>
      <c r="D110" s="27" t="s">
        <v>931</v>
      </c>
      <c r="E110" s="27"/>
      <c r="F110" s="27" t="s">
        <v>996</v>
      </c>
      <c r="G110" s="27" t="s">
        <v>1119</v>
      </c>
      <c r="H110" s="28"/>
    </row>
    <row r="111" ht="14.25" customHeight="1">
      <c r="A111" s="27" t="s">
        <v>121</v>
      </c>
      <c r="B111" s="65" t="s">
        <v>1120</v>
      </c>
      <c r="C111" s="27" t="s">
        <v>22</v>
      </c>
      <c r="D111" s="27" t="s">
        <v>571</v>
      </c>
      <c r="E111" s="27"/>
      <c r="F111" s="27" t="s">
        <v>996</v>
      </c>
      <c r="G111" s="27" t="s">
        <v>1121</v>
      </c>
      <c r="H111" s="28"/>
    </row>
    <row r="112" ht="14.25" customHeight="1">
      <c r="A112" s="27" t="s">
        <v>121</v>
      </c>
      <c r="B112" s="30" t="s">
        <v>1122</v>
      </c>
      <c r="C112" s="27" t="s">
        <v>22</v>
      </c>
      <c r="D112" s="27" t="s">
        <v>571</v>
      </c>
      <c r="E112" s="27"/>
      <c r="F112" s="27" t="s">
        <v>996</v>
      </c>
      <c r="G112" s="27" t="s">
        <v>1123</v>
      </c>
      <c r="H112" s="28"/>
    </row>
    <row r="113" ht="14.25" customHeight="1">
      <c r="A113" s="27" t="s">
        <v>121</v>
      </c>
      <c r="B113" s="30" t="s">
        <v>1124</v>
      </c>
      <c r="C113" s="27"/>
      <c r="D113" s="27" t="s">
        <v>571</v>
      </c>
      <c r="E113" s="27" t="s">
        <v>975</v>
      </c>
      <c r="F113" s="27" t="s">
        <v>996</v>
      </c>
      <c r="G113" s="27" t="s">
        <v>1125</v>
      </c>
      <c r="H113" s="28"/>
    </row>
    <row r="114" ht="14.25" customHeight="1">
      <c r="A114" s="27" t="s">
        <v>146</v>
      </c>
      <c r="B114" s="30" t="s">
        <v>1126</v>
      </c>
      <c r="C114" s="27" t="s">
        <v>22</v>
      </c>
      <c r="D114" s="27" t="s">
        <v>931</v>
      </c>
      <c r="E114" s="27"/>
      <c r="F114" s="27" t="s">
        <v>996</v>
      </c>
      <c r="G114" s="28"/>
      <c r="H114" s="28"/>
    </row>
    <row r="115" ht="14.25" customHeight="1">
      <c r="A115" s="2" t="s">
        <v>149</v>
      </c>
      <c r="B115" s="20" t="s">
        <v>1127</v>
      </c>
      <c r="C115" s="27" t="s">
        <v>22</v>
      </c>
      <c r="D115" s="2" t="s">
        <v>647</v>
      </c>
      <c r="G115" s="2" t="s">
        <v>1128</v>
      </c>
    </row>
    <row r="116" ht="14.25" customHeight="1">
      <c r="A116" s="2" t="s">
        <v>149</v>
      </c>
      <c r="B116" s="20" t="s">
        <v>1129</v>
      </c>
      <c r="C116" s="27" t="s">
        <v>22</v>
      </c>
      <c r="D116" s="2" t="s">
        <v>647</v>
      </c>
      <c r="G116" s="2" t="s">
        <v>1130</v>
      </c>
    </row>
    <row r="117" ht="14.25" customHeight="1">
      <c r="A117" s="2" t="s">
        <v>149</v>
      </c>
      <c r="B117" s="20" t="s">
        <v>1131</v>
      </c>
      <c r="C117" s="27" t="s">
        <v>22</v>
      </c>
      <c r="D117" s="2" t="s">
        <v>647</v>
      </c>
      <c r="G117" s="2" t="s">
        <v>1132</v>
      </c>
    </row>
    <row r="118" ht="14.25" customHeight="1">
      <c r="A118" s="2" t="s">
        <v>149</v>
      </c>
      <c r="B118" s="20" t="s">
        <v>1133</v>
      </c>
      <c r="C118" s="27" t="s">
        <v>22</v>
      </c>
      <c r="D118" s="2" t="s">
        <v>647</v>
      </c>
      <c r="G118" s="2" t="s">
        <v>1134</v>
      </c>
    </row>
    <row r="119" ht="14.25" customHeight="1">
      <c r="A119" s="27" t="s">
        <v>153</v>
      </c>
      <c r="B119" s="30" t="s">
        <v>1135</v>
      </c>
      <c r="C119" s="27" t="s">
        <v>22</v>
      </c>
      <c r="D119" s="27" t="s">
        <v>156</v>
      </c>
      <c r="E119" s="27"/>
      <c r="F119" s="27" t="s">
        <v>996</v>
      </c>
      <c r="G119" s="27" t="s">
        <v>1136</v>
      </c>
      <c r="H119" s="28"/>
    </row>
    <row r="120" ht="14.25" customHeight="1">
      <c r="A120" s="27" t="s">
        <v>161</v>
      </c>
      <c r="B120" s="32" t="s">
        <v>1137</v>
      </c>
      <c r="C120" s="27" t="s">
        <v>22</v>
      </c>
      <c r="D120" s="27" t="s">
        <v>160</v>
      </c>
      <c r="E120" s="28"/>
      <c r="F120" s="28"/>
      <c r="G120" s="66" t="s">
        <v>1138</v>
      </c>
      <c r="H120" s="28"/>
    </row>
    <row r="121" ht="14.25" customHeight="1">
      <c r="A121" s="27" t="s">
        <v>169</v>
      </c>
      <c r="B121" s="58" t="s">
        <v>1139</v>
      </c>
      <c r="C121" s="27" t="s">
        <v>22</v>
      </c>
      <c r="D121" s="67" t="s">
        <v>168</v>
      </c>
      <c r="E121" s="27"/>
      <c r="F121" s="27" t="s">
        <v>996</v>
      </c>
      <c r="G121" s="45"/>
      <c r="H121" s="28"/>
    </row>
    <row r="122" ht="14.25" customHeight="1">
      <c r="A122" s="27" t="s">
        <v>169</v>
      </c>
      <c r="B122" s="68" t="s">
        <v>1140</v>
      </c>
      <c r="C122" s="27" t="s">
        <v>22</v>
      </c>
      <c r="D122" s="67" t="s">
        <v>168</v>
      </c>
      <c r="E122" s="27"/>
      <c r="F122" s="27" t="s">
        <v>996</v>
      </c>
      <c r="G122" s="28"/>
      <c r="H122" s="28"/>
    </row>
    <row r="123" ht="14.25" customHeight="1">
      <c r="A123" s="27" t="s">
        <v>169</v>
      </c>
      <c r="B123" s="69" t="s">
        <v>1083</v>
      </c>
      <c r="C123" s="27" t="s">
        <v>22</v>
      </c>
      <c r="D123" s="27" t="s">
        <v>183</v>
      </c>
      <c r="E123" s="27"/>
      <c r="F123" s="27" t="s">
        <v>996</v>
      </c>
      <c r="G123" s="28"/>
      <c r="H123" s="28"/>
    </row>
    <row r="124" ht="14.25" customHeight="1">
      <c r="A124" s="27" t="s">
        <v>169</v>
      </c>
      <c r="B124" s="32" t="s">
        <v>1141</v>
      </c>
      <c r="C124" s="27" t="s">
        <v>22</v>
      </c>
      <c r="D124" s="32" t="s">
        <v>1142</v>
      </c>
      <c r="E124" s="27"/>
      <c r="F124" s="27" t="s">
        <v>996</v>
      </c>
      <c r="G124" s="28"/>
      <c r="H124" s="28"/>
    </row>
    <row r="125" ht="14.25" customHeight="1">
      <c r="A125" s="27" t="s">
        <v>169</v>
      </c>
      <c r="B125" s="32" t="s">
        <v>1143</v>
      </c>
      <c r="C125" s="27" t="s">
        <v>22</v>
      </c>
      <c r="D125" s="32" t="s">
        <v>1142</v>
      </c>
      <c r="E125" s="27"/>
      <c r="F125" s="27" t="s">
        <v>996</v>
      </c>
      <c r="G125" s="28"/>
      <c r="H125" s="28"/>
    </row>
    <row r="126" ht="14.25" customHeight="1">
      <c r="A126" s="27" t="s">
        <v>169</v>
      </c>
      <c r="B126" s="70" t="s">
        <v>1144</v>
      </c>
      <c r="C126" s="27" t="s">
        <v>22</v>
      </c>
      <c r="D126" s="32" t="s">
        <v>1142</v>
      </c>
      <c r="E126" s="27"/>
      <c r="F126" s="27" t="s">
        <v>996</v>
      </c>
      <c r="G126" s="70" t="s">
        <v>1145</v>
      </c>
      <c r="H126" s="28"/>
    </row>
    <row r="127" ht="14.25" customHeight="1">
      <c r="A127" s="27" t="s">
        <v>169</v>
      </c>
      <c r="B127" s="71" t="s">
        <v>1146</v>
      </c>
      <c r="C127" s="27" t="s">
        <v>21</v>
      </c>
      <c r="D127" s="32" t="s">
        <v>1142</v>
      </c>
      <c r="E127" s="27" t="s">
        <v>974</v>
      </c>
      <c r="F127" s="27" t="s">
        <v>1147</v>
      </c>
      <c r="G127" s="72" t="s">
        <v>1148</v>
      </c>
      <c r="H127" s="28"/>
    </row>
    <row r="128" ht="14.25" customHeight="1">
      <c r="A128" s="27" t="s">
        <v>192</v>
      </c>
      <c r="B128" s="32" t="s">
        <v>1149</v>
      </c>
      <c r="C128" s="27" t="s">
        <v>22</v>
      </c>
      <c r="D128" s="27" t="s">
        <v>217</v>
      </c>
      <c r="E128" s="27"/>
      <c r="F128" s="27" t="s">
        <v>996</v>
      </c>
      <c r="G128" s="28"/>
      <c r="H128" s="28"/>
    </row>
    <row r="129" ht="14.25" customHeight="1">
      <c r="A129" s="27" t="s">
        <v>192</v>
      </c>
      <c r="B129" s="32" t="s">
        <v>1150</v>
      </c>
      <c r="C129" s="27" t="s">
        <v>22</v>
      </c>
      <c r="D129" s="27" t="s">
        <v>191</v>
      </c>
      <c r="E129" s="27"/>
      <c r="F129" s="27" t="s">
        <v>996</v>
      </c>
      <c r="G129" s="28"/>
      <c r="H129" s="28"/>
    </row>
    <row r="130" ht="14.25" customHeight="1">
      <c r="A130" s="27" t="s">
        <v>265</v>
      </c>
      <c r="B130" s="58"/>
      <c r="C130" s="27"/>
      <c r="D130" s="27" t="s">
        <v>740</v>
      </c>
      <c r="E130" s="27"/>
      <c r="F130" s="27" t="s">
        <v>996</v>
      </c>
      <c r="G130" s="73" t="s">
        <v>1151</v>
      </c>
      <c r="H130" s="28"/>
    </row>
    <row r="131" ht="14.25" customHeight="1">
      <c r="A131" s="27" t="s">
        <v>1152</v>
      </c>
      <c r="B131" s="51" t="s">
        <v>1150</v>
      </c>
      <c r="C131" s="2" t="s">
        <v>22</v>
      </c>
      <c r="D131" s="27" t="s">
        <v>740</v>
      </c>
      <c r="E131" s="27"/>
      <c r="F131" s="27" t="s">
        <v>996</v>
      </c>
      <c r="G131" s="28"/>
      <c r="H131" s="28"/>
    </row>
    <row r="132" ht="14.25" customHeight="1">
      <c r="A132" s="27" t="s">
        <v>202</v>
      </c>
      <c r="B132" s="30" t="s">
        <v>1153</v>
      </c>
      <c r="C132" s="2" t="s">
        <v>22</v>
      </c>
      <c r="D132" s="27" t="s">
        <v>201</v>
      </c>
      <c r="E132" s="27"/>
      <c r="F132" s="27" t="s">
        <v>996</v>
      </c>
      <c r="G132" s="27" t="s">
        <v>1154</v>
      </c>
      <c r="H132" s="28"/>
    </row>
    <row r="133" ht="14.25" customHeight="1">
      <c r="A133" s="27" t="s">
        <v>202</v>
      </c>
      <c r="B133" s="30" t="s">
        <v>1155</v>
      </c>
      <c r="C133" s="2" t="s">
        <v>22</v>
      </c>
      <c r="D133" s="27" t="s">
        <v>201</v>
      </c>
      <c r="E133" s="27"/>
      <c r="F133" s="27" t="s">
        <v>996</v>
      </c>
      <c r="G133" s="27" t="s">
        <v>1156</v>
      </c>
      <c r="H133" s="28"/>
    </row>
    <row r="134" ht="14.25" customHeight="1">
      <c r="A134" s="27" t="s">
        <v>205</v>
      </c>
      <c r="B134" s="74" t="s">
        <v>1157</v>
      </c>
      <c r="C134" s="2" t="s">
        <v>22</v>
      </c>
      <c r="D134" s="27" t="s">
        <v>1158</v>
      </c>
      <c r="E134" s="27"/>
      <c r="F134" s="27" t="s">
        <v>996</v>
      </c>
      <c r="G134" s="28"/>
      <c r="H134" s="28"/>
    </row>
    <row r="135" ht="14.25" customHeight="1">
      <c r="A135" s="27" t="s">
        <v>205</v>
      </c>
      <c r="B135" s="51" t="s">
        <v>1159</v>
      </c>
      <c r="C135" s="2" t="s">
        <v>22</v>
      </c>
      <c r="D135" s="27" t="s">
        <v>1158</v>
      </c>
      <c r="E135" s="27"/>
      <c r="F135" s="27" t="s">
        <v>996</v>
      </c>
      <c r="G135" s="28"/>
      <c r="H135" s="28"/>
    </row>
    <row r="136" ht="14.25" customHeight="1">
      <c r="A136" s="27" t="s">
        <v>205</v>
      </c>
      <c r="B136" s="38" t="s">
        <v>1160</v>
      </c>
      <c r="C136" s="2" t="s">
        <v>22</v>
      </c>
      <c r="D136" s="27" t="s">
        <v>1158</v>
      </c>
      <c r="E136" s="27"/>
      <c r="F136" s="27" t="s">
        <v>996</v>
      </c>
      <c r="G136" s="28"/>
      <c r="H136" s="28"/>
    </row>
    <row r="137" ht="14.25" customHeight="1">
      <c r="A137" s="27" t="s">
        <v>205</v>
      </c>
      <c r="B137" s="51" t="s">
        <v>1161</v>
      </c>
      <c r="C137" s="2" t="s">
        <v>22</v>
      </c>
      <c r="D137" s="27" t="s">
        <v>1158</v>
      </c>
      <c r="E137" s="27"/>
      <c r="F137" s="27" t="s">
        <v>996</v>
      </c>
      <c r="G137" s="28"/>
      <c r="H137" s="28"/>
    </row>
    <row r="138" ht="14.25" customHeight="1">
      <c r="A138" s="27" t="s">
        <v>205</v>
      </c>
      <c r="B138" s="38" t="s">
        <v>1162</v>
      </c>
      <c r="C138" s="2" t="s">
        <v>22</v>
      </c>
      <c r="D138" s="27" t="s">
        <v>1158</v>
      </c>
      <c r="E138" s="27"/>
      <c r="F138" s="27" t="s">
        <v>996</v>
      </c>
      <c r="G138" s="28"/>
      <c r="H138" s="28"/>
    </row>
    <row r="139" ht="14.25" customHeight="1">
      <c r="A139" s="27" t="s">
        <v>205</v>
      </c>
      <c r="B139" s="51" t="s">
        <v>1163</v>
      </c>
      <c r="C139" s="2" t="s">
        <v>22</v>
      </c>
      <c r="D139" s="27" t="s">
        <v>1158</v>
      </c>
      <c r="E139" s="27"/>
      <c r="F139" s="27" t="s">
        <v>996</v>
      </c>
      <c r="G139" s="28"/>
      <c r="H139" s="28"/>
    </row>
    <row r="140" ht="14.25" customHeight="1">
      <c r="A140" s="27" t="s">
        <v>205</v>
      </c>
      <c r="B140" s="32" t="s">
        <v>1164</v>
      </c>
      <c r="C140" s="2" t="s">
        <v>22</v>
      </c>
      <c r="D140" s="27" t="s">
        <v>1158</v>
      </c>
      <c r="E140" s="27"/>
      <c r="F140" s="27" t="s">
        <v>996</v>
      </c>
      <c r="G140" s="28"/>
      <c r="H140" s="28"/>
    </row>
    <row r="141" ht="14.25" customHeight="1">
      <c r="A141" s="27" t="s">
        <v>205</v>
      </c>
      <c r="B141" s="51" t="s">
        <v>1165</v>
      </c>
      <c r="C141" s="2" t="s">
        <v>22</v>
      </c>
      <c r="D141" s="27" t="s">
        <v>1158</v>
      </c>
      <c r="E141" s="27"/>
      <c r="F141" s="27" t="s">
        <v>996</v>
      </c>
      <c r="G141" s="28"/>
      <c r="H141" s="28"/>
    </row>
    <row r="142" ht="14.25" customHeight="1">
      <c r="A142" s="27" t="s">
        <v>205</v>
      </c>
      <c r="B142" s="51" t="s">
        <v>1166</v>
      </c>
      <c r="C142" s="2" t="s">
        <v>22</v>
      </c>
      <c r="D142" s="27" t="s">
        <v>1158</v>
      </c>
      <c r="E142" s="27"/>
      <c r="F142" s="27" t="s">
        <v>996</v>
      </c>
      <c r="G142" s="28"/>
      <c r="H142" s="28"/>
    </row>
    <row r="143" ht="14.25" customHeight="1">
      <c r="A143" s="27" t="s">
        <v>205</v>
      </c>
      <c r="B143" s="51" t="s">
        <v>1157</v>
      </c>
      <c r="C143" s="2" t="s">
        <v>22</v>
      </c>
      <c r="D143" s="27" t="s">
        <v>1158</v>
      </c>
      <c r="E143" s="27"/>
      <c r="F143" s="27" t="s">
        <v>996</v>
      </c>
      <c r="G143" s="28"/>
      <c r="H143" s="27"/>
    </row>
    <row r="144" ht="14.25" customHeight="1">
      <c r="A144" s="27" t="s">
        <v>205</v>
      </c>
      <c r="B144" s="51" t="s">
        <v>1167</v>
      </c>
      <c r="C144" s="2" t="s">
        <v>22</v>
      </c>
      <c r="D144" s="27" t="s">
        <v>1158</v>
      </c>
      <c r="E144" s="27"/>
      <c r="F144" s="27" t="s">
        <v>996</v>
      </c>
      <c r="G144" s="75"/>
      <c r="H144" s="28"/>
    </row>
    <row r="145" ht="14.25" customHeight="1">
      <c r="A145" s="27" t="s">
        <v>205</v>
      </c>
      <c r="B145" s="51" t="s">
        <v>1168</v>
      </c>
      <c r="C145" s="2" t="s">
        <v>22</v>
      </c>
      <c r="D145" s="27" t="s">
        <v>1158</v>
      </c>
      <c r="E145" s="27"/>
      <c r="F145" s="27" t="s">
        <v>996</v>
      </c>
      <c r="G145" s="28"/>
      <c r="H145" s="28"/>
    </row>
    <row r="146" ht="14.25" customHeight="1">
      <c r="A146" s="27" t="s">
        <v>205</v>
      </c>
      <c r="B146" s="51" t="s">
        <v>1168</v>
      </c>
      <c r="C146" s="2" t="s">
        <v>22</v>
      </c>
      <c r="D146" s="27" t="s">
        <v>1158</v>
      </c>
      <c r="E146" s="27"/>
      <c r="F146" s="27" t="s">
        <v>996</v>
      </c>
      <c r="G146" s="76"/>
      <c r="H146" s="28"/>
    </row>
    <row r="147" ht="14.25" customHeight="1">
      <c r="A147" s="2" t="s">
        <v>205</v>
      </c>
      <c r="B147" s="77" t="s">
        <v>1169</v>
      </c>
      <c r="C147" s="2" t="s">
        <v>22</v>
      </c>
      <c r="D147" s="2" t="s">
        <v>210</v>
      </c>
      <c r="E147" s="2"/>
      <c r="F147" s="2" t="s">
        <v>996</v>
      </c>
    </row>
    <row r="148" ht="14.25" customHeight="1">
      <c r="A148" s="2" t="s">
        <v>205</v>
      </c>
      <c r="B148" s="78" t="s">
        <v>1170</v>
      </c>
      <c r="C148" s="2" t="s">
        <v>22</v>
      </c>
      <c r="D148" s="2" t="s">
        <v>210</v>
      </c>
      <c r="E148" s="2"/>
      <c r="F148" s="2" t="s">
        <v>996</v>
      </c>
    </row>
    <row r="149" ht="14.25" customHeight="1">
      <c r="A149" s="2" t="s">
        <v>205</v>
      </c>
      <c r="B149" s="20" t="s">
        <v>1171</v>
      </c>
      <c r="C149" s="2" t="s">
        <v>22</v>
      </c>
      <c r="D149" s="2" t="s">
        <v>210</v>
      </c>
      <c r="E149" s="2"/>
      <c r="F149" s="2" t="s">
        <v>996</v>
      </c>
      <c r="G149" s="5" t="s">
        <v>1172</v>
      </c>
    </row>
    <row r="150" ht="14.25" customHeight="1">
      <c r="A150" s="2" t="s">
        <v>1173</v>
      </c>
      <c r="B150" s="79" t="s">
        <v>1174</v>
      </c>
      <c r="C150" s="2" t="s">
        <v>22</v>
      </c>
      <c r="D150" s="2" t="s">
        <v>238</v>
      </c>
      <c r="E150" s="2"/>
      <c r="F150" s="2" t="s">
        <v>996</v>
      </c>
    </row>
    <row r="151" ht="14.25" customHeight="1">
      <c r="A151" s="2" t="s">
        <v>1173</v>
      </c>
      <c r="B151" s="20" t="s">
        <v>1175</v>
      </c>
      <c r="C151" s="2" t="s">
        <v>22</v>
      </c>
      <c r="D151" s="2" t="s">
        <v>238</v>
      </c>
      <c r="E151" s="2"/>
      <c r="F151" s="2" t="s">
        <v>996</v>
      </c>
    </row>
    <row r="152" ht="14.25" customHeight="1">
      <c r="A152" s="2" t="s">
        <v>1173</v>
      </c>
      <c r="B152" s="20" t="s">
        <v>1176</v>
      </c>
      <c r="C152" s="2" t="s">
        <v>22</v>
      </c>
      <c r="D152" s="2" t="s">
        <v>238</v>
      </c>
      <c r="E152" s="2"/>
      <c r="F152" s="2" t="s">
        <v>996</v>
      </c>
    </row>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sheetData>
  <autoFilter ref="$A$1:$A$1027"/>
  <hyperlinks>
    <hyperlink r:id="rId1" ref="B2"/>
    <hyperlink r:id="rId2" ref="B4"/>
    <hyperlink r:id="rId3" ref="B7"/>
    <hyperlink r:id="rId4" ref="B8"/>
    <hyperlink r:id="rId5" ref="G8"/>
    <hyperlink r:id="rId6" ref="B9"/>
    <hyperlink r:id="rId7" ref="B10"/>
    <hyperlink r:id="rId8" ref="B17"/>
    <hyperlink r:id="rId9" ref="B18"/>
    <hyperlink r:id="rId10" ref="B19"/>
    <hyperlink r:id="rId11" ref="B26"/>
    <hyperlink r:id="rId12" ref="B27"/>
    <hyperlink r:id="rId13" ref="B28"/>
    <hyperlink r:id="rId14" ref="B29"/>
    <hyperlink r:id="rId15" ref="B30"/>
    <hyperlink r:id="rId16" ref="B31"/>
    <hyperlink r:id="rId17" ref="B32"/>
    <hyperlink r:id="rId18" ref="B33"/>
    <hyperlink r:id="rId19" ref="B34"/>
    <hyperlink r:id="rId20" ref="B35"/>
    <hyperlink r:id="rId21" ref="B36"/>
    <hyperlink r:id="rId22" ref="B37"/>
    <hyperlink r:id="rId23" ref="B38"/>
    <hyperlink r:id="rId24" ref="B39"/>
    <hyperlink r:id="rId25" ref="B40"/>
    <hyperlink r:id="rId26" ref="B41"/>
    <hyperlink r:id="rId27" ref="B42"/>
    <hyperlink r:id="rId28" ref="B43"/>
    <hyperlink r:id="rId29" ref="B44"/>
    <hyperlink r:id="rId30" ref="B45"/>
    <hyperlink r:id="rId31" ref="B46"/>
    <hyperlink r:id="rId32" ref="B47"/>
    <hyperlink r:id="rId33" ref="B48"/>
    <hyperlink r:id="rId34" ref="B49"/>
    <hyperlink r:id="rId35" ref="B50"/>
    <hyperlink r:id="rId36" ref="B51"/>
    <hyperlink r:id="rId37" ref="B52"/>
    <hyperlink r:id="rId38" ref="B53"/>
    <hyperlink r:id="rId39" ref="B54"/>
    <hyperlink r:id="rId40" ref="B55"/>
    <hyperlink r:id="rId41" ref="B56"/>
    <hyperlink r:id="rId42" ref="B57"/>
    <hyperlink r:id="rId43" ref="B58"/>
    <hyperlink r:id="rId44" ref="B59"/>
    <hyperlink r:id="rId45" ref="B60"/>
    <hyperlink r:id="rId46" ref="B61"/>
    <hyperlink r:id="rId47" ref="B62"/>
    <hyperlink r:id="rId48" ref="B63"/>
    <hyperlink r:id="rId49" ref="B64"/>
    <hyperlink r:id="rId50" ref="B65"/>
    <hyperlink r:id="rId51" ref="B66"/>
    <hyperlink r:id="rId52" ref="B67"/>
    <hyperlink r:id="rId53" ref="B68"/>
    <hyperlink r:id="rId54" ref="B69"/>
    <hyperlink r:id="rId55" ref="B70"/>
    <hyperlink r:id="rId56" ref="B71"/>
    <hyperlink r:id="rId57" ref="B72"/>
    <hyperlink r:id="rId58" ref="B73"/>
    <hyperlink r:id="rId59" ref="B74"/>
    <hyperlink r:id="rId60" ref="B75"/>
    <hyperlink r:id="rId61" ref="B76"/>
    <hyperlink r:id="rId62" ref="B78"/>
    <hyperlink r:id="rId63" ref="B79"/>
    <hyperlink r:id="rId64" ref="B80"/>
    <hyperlink r:id="rId65" ref="B81"/>
    <hyperlink r:id="rId66" ref="B82"/>
    <hyperlink r:id="rId67" ref="B83"/>
    <hyperlink r:id="rId68" ref="B84"/>
    <hyperlink r:id="rId69" ref="B85"/>
    <hyperlink r:id="rId70" ref="B87"/>
    <hyperlink r:id="rId71" ref="B88"/>
    <hyperlink r:id="rId72" ref="B89"/>
    <hyperlink r:id="rId73" ref="G90"/>
    <hyperlink r:id="rId74" ref="B91"/>
    <hyperlink r:id="rId75" ref="B92"/>
    <hyperlink r:id="rId76" ref="B93"/>
    <hyperlink r:id="rId77" ref="B94"/>
    <hyperlink r:id="rId78" ref="B95"/>
    <hyperlink r:id="rId79" ref="B96"/>
    <hyperlink r:id="rId80" ref="B97"/>
    <hyperlink r:id="rId81" ref="B98"/>
    <hyperlink r:id="rId82" ref="B99"/>
    <hyperlink r:id="rId83" ref="B100"/>
    <hyperlink r:id="rId84" ref="B101"/>
    <hyperlink r:id="rId85" ref="B102"/>
    <hyperlink r:id="rId86" ref="B103"/>
    <hyperlink r:id="rId87" ref="B104"/>
    <hyperlink r:id="rId88" ref="B105"/>
    <hyperlink r:id="rId89" ref="B106"/>
    <hyperlink r:id="rId90" ref="B107"/>
    <hyperlink r:id="rId91" ref="B110"/>
    <hyperlink r:id="rId92" ref="B111"/>
    <hyperlink r:id="rId93" ref="B112"/>
    <hyperlink r:id="rId94" ref="B113"/>
    <hyperlink r:id="rId95" ref="B114"/>
    <hyperlink r:id="rId96" ref="B115"/>
    <hyperlink r:id="rId97" ref="B116"/>
    <hyperlink r:id="rId98" ref="B117"/>
    <hyperlink r:id="rId99" ref="B118"/>
    <hyperlink r:id="rId100" ref="B119"/>
    <hyperlink r:id="rId101" ref="B120"/>
    <hyperlink r:id="rId102" ref="B122"/>
    <hyperlink r:id="rId103" ref="B123"/>
    <hyperlink r:id="rId104" ref="B124"/>
    <hyperlink r:id="rId105" ref="D124"/>
    <hyperlink r:id="rId106" ref="B125"/>
    <hyperlink r:id="rId107" ref="D125"/>
    <hyperlink r:id="rId108" ref="D126"/>
    <hyperlink r:id="rId109" ref="B127"/>
    <hyperlink r:id="rId110" ref="D127"/>
    <hyperlink r:id="rId111" ref="G127"/>
    <hyperlink r:id="rId112" ref="B128"/>
    <hyperlink r:id="rId113" ref="B129"/>
    <hyperlink r:id="rId114" ref="B131"/>
    <hyperlink r:id="rId115" ref="B132"/>
    <hyperlink r:id="rId116" ref="B133"/>
    <hyperlink r:id="rId117" ref="B134"/>
    <hyperlink r:id="rId118" ref="B135"/>
    <hyperlink r:id="rId119" ref="B136"/>
    <hyperlink r:id="rId120" ref="B137"/>
    <hyperlink r:id="rId121" ref="B138"/>
    <hyperlink r:id="rId122" ref="B139"/>
    <hyperlink r:id="rId123" ref="B140"/>
    <hyperlink r:id="rId124" ref="B141"/>
    <hyperlink r:id="rId125" ref="B142"/>
    <hyperlink r:id="rId126" ref="B143"/>
    <hyperlink r:id="rId127" ref="B144"/>
    <hyperlink r:id="rId128" ref="B145"/>
    <hyperlink r:id="rId129" ref="B146"/>
    <hyperlink r:id="rId130" ref="B147"/>
    <hyperlink r:id="rId131" ref="B148"/>
    <hyperlink r:id="rId132" ref="B149"/>
    <hyperlink r:id="rId133" ref="B150"/>
    <hyperlink r:id="rId134" ref="B151"/>
    <hyperlink r:id="rId135" ref="B152"/>
  </hyperlinks>
  <drawing r:id="rId13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25"/>
    <col customWidth="1" min="3" max="3" width="27.63"/>
  </cols>
  <sheetData>
    <row r="1">
      <c r="A1" s="80" t="s">
        <v>270</v>
      </c>
      <c r="B1" s="80" t="s">
        <v>1177</v>
      </c>
      <c r="C1" s="80" t="s">
        <v>914</v>
      </c>
      <c r="D1" s="80" t="s">
        <v>1178</v>
      </c>
      <c r="E1" s="80" t="s">
        <v>971</v>
      </c>
    </row>
    <row r="2">
      <c r="A2" s="81" t="s">
        <v>18</v>
      </c>
      <c r="B2" s="82" t="s">
        <v>972</v>
      </c>
      <c r="C2" s="82" t="s">
        <v>973</v>
      </c>
      <c r="D2" s="81" t="s">
        <v>975</v>
      </c>
      <c r="E2" s="83" t="s">
        <v>976</v>
      </c>
    </row>
    <row r="3">
      <c r="A3" s="81" t="s">
        <v>18</v>
      </c>
      <c r="B3" s="81" t="s">
        <v>977</v>
      </c>
      <c r="C3" s="81" t="s">
        <v>978</v>
      </c>
      <c r="D3" s="81" t="s">
        <v>975</v>
      </c>
      <c r="E3" s="83" t="s">
        <v>979</v>
      </c>
    </row>
    <row r="4">
      <c r="A4" s="81" t="s">
        <v>18</v>
      </c>
      <c r="B4" s="82" t="s">
        <v>980</v>
      </c>
      <c r="C4" s="81" t="s">
        <v>981</v>
      </c>
      <c r="D4" s="81" t="s">
        <v>975</v>
      </c>
      <c r="E4" s="83" t="s">
        <v>982</v>
      </c>
    </row>
    <row r="5">
      <c r="A5" s="81" t="s">
        <v>255</v>
      </c>
      <c r="B5" s="81" t="s">
        <v>995</v>
      </c>
      <c r="C5" s="81" t="s">
        <v>321</v>
      </c>
      <c r="D5" s="81" t="s">
        <v>996</v>
      </c>
      <c r="E5" s="83" t="s">
        <v>997</v>
      </c>
    </row>
    <row r="6">
      <c r="A6" s="81" t="s">
        <v>37</v>
      </c>
      <c r="B6" s="81" t="s">
        <v>983</v>
      </c>
      <c r="C6" s="81" t="s">
        <v>998</v>
      </c>
      <c r="D6" s="81" t="s">
        <v>996</v>
      </c>
      <c r="E6" s="84" t="s">
        <v>1179</v>
      </c>
    </row>
    <row r="7">
      <c r="A7" s="81" t="s">
        <v>37</v>
      </c>
      <c r="B7" s="81" t="s">
        <v>983</v>
      </c>
      <c r="C7" s="85" t="s">
        <v>1000</v>
      </c>
      <c r="D7" s="81" t="s">
        <v>996</v>
      </c>
      <c r="E7" s="83" t="s">
        <v>1180</v>
      </c>
    </row>
    <row r="8">
      <c r="A8" s="81" t="s">
        <v>37</v>
      </c>
      <c r="B8" s="81" t="s">
        <v>983</v>
      </c>
      <c r="C8" s="81" t="s">
        <v>349</v>
      </c>
      <c r="D8" s="81" t="s">
        <v>996</v>
      </c>
      <c r="E8" s="83" t="s">
        <v>1181</v>
      </c>
    </row>
    <row r="9">
      <c r="A9" s="81" t="s">
        <v>37</v>
      </c>
      <c r="B9" s="81" t="s">
        <v>983</v>
      </c>
      <c r="C9" s="81" t="s">
        <v>36</v>
      </c>
      <c r="D9" s="81" t="s">
        <v>996</v>
      </c>
      <c r="E9" s="83" t="s">
        <v>1182</v>
      </c>
    </row>
    <row r="10">
      <c r="A10" s="81" t="s">
        <v>37</v>
      </c>
      <c r="B10" s="81" t="s">
        <v>983</v>
      </c>
      <c r="C10" s="81" t="s">
        <v>36</v>
      </c>
      <c r="D10" s="81" t="s">
        <v>996</v>
      </c>
      <c r="E10" s="83" t="s">
        <v>1183</v>
      </c>
    </row>
    <row r="11">
      <c r="A11" s="81" t="s">
        <v>37</v>
      </c>
      <c r="B11" s="82" t="s">
        <v>1005</v>
      </c>
      <c r="C11" s="86" t="s">
        <v>345</v>
      </c>
      <c r="D11" s="87"/>
      <c r="E11" s="87"/>
    </row>
    <row r="12">
      <c r="A12" s="81" t="s">
        <v>37</v>
      </c>
      <c r="B12" s="88" t="s">
        <v>1006</v>
      </c>
      <c r="C12" s="86" t="s">
        <v>345</v>
      </c>
      <c r="D12" s="87"/>
      <c r="E12" s="87"/>
    </row>
    <row r="13">
      <c r="A13" s="81" t="s">
        <v>37</v>
      </c>
      <c r="B13" s="82" t="s">
        <v>1007</v>
      </c>
      <c r="C13" s="86" t="s">
        <v>345</v>
      </c>
      <c r="D13" s="87"/>
      <c r="E13" s="87"/>
    </row>
    <row r="14">
      <c r="A14" s="81" t="s">
        <v>258</v>
      </c>
      <c r="B14" s="82" t="s">
        <v>1014</v>
      </c>
      <c r="C14" s="81" t="s">
        <v>388</v>
      </c>
      <c r="D14" s="81" t="s">
        <v>975</v>
      </c>
      <c r="E14" s="89"/>
    </row>
    <row r="15">
      <c r="A15" s="81" t="s">
        <v>258</v>
      </c>
      <c r="B15" s="82" t="s">
        <v>1015</v>
      </c>
      <c r="C15" s="81" t="s">
        <v>388</v>
      </c>
      <c r="D15" s="81" t="s">
        <v>975</v>
      </c>
      <c r="E15" s="87"/>
    </row>
    <row r="16">
      <c r="A16" s="81" t="s">
        <v>258</v>
      </c>
      <c r="B16" s="82" t="s">
        <v>1016</v>
      </c>
      <c r="C16" s="81" t="s">
        <v>388</v>
      </c>
      <c r="D16" s="81" t="s">
        <v>975</v>
      </c>
      <c r="E16" s="87"/>
    </row>
    <row r="17">
      <c r="A17" s="81" t="s">
        <v>258</v>
      </c>
      <c r="B17" s="82" t="s">
        <v>1017</v>
      </c>
      <c r="C17" s="81" t="s">
        <v>388</v>
      </c>
      <c r="D17" s="81" t="s">
        <v>975</v>
      </c>
      <c r="E17" s="87"/>
    </row>
    <row r="18">
      <c r="A18" s="81" t="s">
        <v>258</v>
      </c>
      <c r="B18" s="82" t="s">
        <v>1018</v>
      </c>
      <c r="C18" s="81" t="s">
        <v>388</v>
      </c>
      <c r="D18" s="81" t="s">
        <v>975</v>
      </c>
      <c r="E18" s="87"/>
    </row>
    <row r="19">
      <c r="A19" s="81" t="s">
        <v>258</v>
      </c>
      <c r="B19" s="82" t="s">
        <v>1019</v>
      </c>
      <c r="C19" s="81" t="s">
        <v>388</v>
      </c>
      <c r="D19" s="81" t="s">
        <v>975</v>
      </c>
      <c r="E19" s="87"/>
    </row>
    <row r="20">
      <c r="A20" s="81" t="s">
        <v>258</v>
      </c>
      <c r="B20" s="82" t="s">
        <v>1020</v>
      </c>
      <c r="C20" s="81" t="s">
        <v>388</v>
      </c>
      <c r="D20" s="81" t="s">
        <v>975</v>
      </c>
      <c r="E20" s="87"/>
    </row>
    <row r="21">
      <c r="A21" s="81" t="s">
        <v>258</v>
      </c>
      <c r="B21" s="82" t="s">
        <v>1021</v>
      </c>
      <c r="C21" s="81" t="s">
        <v>388</v>
      </c>
      <c r="D21" s="81" t="s">
        <v>975</v>
      </c>
      <c r="E21" s="87"/>
    </row>
    <row r="22">
      <c r="A22" s="85" t="s">
        <v>258</v>
      </c>
      <c r="B22" s="88" t="s">
        <v>1022</v>
      </c>
      <c r="C22" s="85" t="s">
        <v>388</v>
      </c>
      <c r="D22" s="85" t="s">
        <v>975</v>
      </c>
      <c r="E22" s="89"/>
    </row>
    <row r="23">
      <c r="A23" s="85" t="s">
        <v>258</v>
      </c>
      <c r="B23" s="88" t="s">
        <v>1023</v>
      </c>
      <c r="C23" s="85" t="s">
        <v>388</v>
      </c>
      <c r="D23" s="85" t="s">
        <v>975</v>
      </c>
      <c r="E23" s="89"/>
    </row>
    <row r="24">
      <c r="A24" s="85" t="s">
        <v>258</v>
      </c>
      <c r="B24" s="88" t="s">
        <v>1024</v>
      </c>
      <c r="C24" s="85" t="s">
        <v>388</v>
      </c>
      <c r="D24" s="85" t="s">
        <v>975</v>
      </c>
      <c r="E24" s="89"/>
    </row>
    <row r="25">
      <c r="A25" s="81" t="s">
        <v>54</v>
      </c>
      <c r="B25" s="88" t="s">
        <v>1025</v>
      </c>
      <c r="C25" s="81" t="s">
        <v>55</v>
      </c>
      <c r="D25" s="81" t="s">
        <v>996</v>
      </c>
      <c r="E25" s="81" t="s">
        <v>1026</v>
      </c>
    </row>
    <row r="26">
      <c r="A26" s="81" t="s">
        <v>60</v>
      </c>
      <c r="B26" s="82" t="s">
        <v>1027</v>
      </c>
      <c r="C26" s="81" t="s">
        <v>59</v>
      </c>
      <c r="D26" s="81" t="s">
        <v>975</v>
      </c>
      <c r="E26" s="87"/>
    </row>
    <row r="27">
      <c r="A27" s="81" t="s">
        <v>60</v>
      </c>
      <c r="B27" s="82" t="s">
        <v>1028</v>
      </c>
      <c r="C27" s="81" t="s">
        <v>59</v>
      </c>
      <c r="D27" s="81" t="s">
        <v>975</v>
      </c>
      <c r="E27" s="87"/>
    </row>
    <row r="28">
      <c r="A28" s="81" t="s">
        <v>60</v>
      </c>
      <c r="B28" s="82" t="s">
        <v>1029</v>
      </c>
      <c r="C28" s="81" t="s">
        <v>59</v>
      </c>
      <c r="D28" s="81" t="s">
        <v>975</v>
      </c>
      <c r="E28" s="87"/>
    </row>
    <row r="29">
      <c r="A29" s="81" t="s">
        <v>60</v>
      </c>
      <c r="B29" s="82" t="s">
        <v>1030</v>
      </c>
      <c r="C29" s="81" t="s">
        <v>59</v>
      </c>
      <c r="D29" s="81" t="s">
        <v>975</v>
      </c>
      <c r="E29" s="87"/>
    </row>
    <row r="30">
      <c r="A30" s="81" t="s">
        <v>60</v>
      </c>
      <c r="B30" s="82" t="s">
        <v>1031</v>
      </c>
      <c r="C30" s="81" t="s">
        <v>59</v>
      </c>
      <c r="D30" s="81" t="s">
        <v>975</v>
      </c>
      <c r="E30" s="87"/>
    </row>
    <row r="31">
      <c r="A31" s="81" t="s">
        <v>60</v>
      </c>
      <c r="B31" s="82" t="s">
        <v>1032</v>
      </c>
      <c r="C31" s="81" t="s">
        <v>59</v>
      </c>
      <c r="D31" s="81" t="s">
        <v>975</v>
      </c>
      <c r="E31" s="87"/>
    </row>
    <row r="32">
      <c r="A32" s="81" t="s">
        <v>60</v>
      </c>
      <c r="B32" s="82" t="s">
        <v>1033</v>
      </c>
      <c r="C32" s="81" t="s">
        <v>59</v>
      </c>
      <c r="D32" s="81" t="s">
        <v>975</v>
      </c>
      <c r="E32" s="87"/>
    </row>
    <row r="33">
      <c r="A33" s="81" t="s">
        <v>1034</v>
      </c>
      <c r="B33" s="82" t="s">
        <v>1035</v>
      </c>
      <c r="C33" s="81" t="s">
        <v>59</v>
      </c>
      <c r="D33" s="81" t="s">
        <v>996</v>
      </c>
      <c r="E33" s="83" t="s">
        <v>1036</v>
      </c>
    </row>
    <row r="34">
      <c r="A34" s="81" t="s">
        <v>69</v>
      </c>
      <c r="B34" s="88" t="s">
        <v>1041</v>
      </c>
      <c r="C34" s="81" t="s">
        <v>931</v>
      </c>
      <c r="D34" s="81" t="s">
        <v>975</v>
      </c>
      <c r="E34" s="87"/>
    </row>
    <row r="35">
      <c r="A35" s="81" t="s">
        <v>69</v>
      </c>
      <c r="B35" s="82" t="s">
        <v>1042</v>
      </c>
      <c r="C35" s="81" t="s">
        <v>931</v>
      </c>
      <c r="D35" s="81" t="s">
        <v>975</v>
      </c>
      <c r="E35" s="87"/>
    </row>
    <row r="36">
      <c r="A36" s="81" t="s">
        <v>69</v>
      </c>
      <c r="B36" s="82" t="s">
        <v>1043</v>
      </c>
      <c r="C36" s="81" t="s">
        <v>931</v>
      </c>
      <c r="D36" s="81" t="s">
        <v>975</v>
      </c>
      <c r="E36" s="87"/>
    </row>
    <row r="37">
      <c r="A37" s="81" t="s">
        <v>69</v>
      </c>
      <c r="B37" s="82" t="s">
        <v>1044</v>
      </c>
      <c r="C37" s="81" t="s">
        <v>931</v>
      </c>
      <c r="D37" s="81" t="s">
        <v>975</v>
      </c>
      <c r="E37" s="87"/>
    </row>
    <row r="38">
      <c r="A38" s="81" t="s">
        <v>69</v>
      </c>
      <c r="B38" s="82" t="s">
        <v>1045</v>
      </c>
      <c r="C38" s="81" t="s">
        <v>931</v>
      </c>
      <c r="D38" s="81" t="s">
        <v>975</v>
      </c>
      <c r="E38" s="87"/>
    </row>
    <row r="39">
      <c r="A39" s="81" t="s">
        <v>69</v>
      </c>
      <c r="B39" s="82" t="s">
        <v>1046</v>
      </c>
      <c r="C39" s="81" t="s">
        <v>931</v>
      </c>
      <c r="D39" s="81" t="s">
        <v>975</v>
      </c>
      <c r="E39" s="87"/>
    </row>
    <row r="40">
      <c r="A40" s="81" t="s">
        <v>69</v>
      </c>
      <c r="B40" s="82" t="s">
        <v>1047</v>
      </c>
      <c r="C40" s="81" t="s">
        <v>931</v>
      </c>
      <c r="D40" s="81" t="s">
        <v>975</v>
      </c>
      <c r="E40" s="87"/>
    </row>
    <row r="41">
      <c r="A41" s="81" t="s">
        <v>69</v>
      </c>
      <c r="B41" s="82" t="s">
        <v>1048</v>
      </c>
      <c r="C41" s="81" t="s">
        <v>931</v>
      </c>
      <c r="D41" s="81" t="s">
        <v>975</v>
      </c>
      <c r="E41" s="87"/>
    </row>
    <row r="42">
      <c r="A42" s="81" t="s">
        <v>69</v>
      </c>
      <c r="B42" s="82" t="s">
        <v>1049</v>
      </c>
      <c r="C42" s="81" t="s">
        <v>931</v>
      </c>
      <c r="D42" s="81" t="s">
        <v>975</v>
      </c>
      <c r="E42" s="87"/>
    </row>
    <row r="43">
      <c r="A43" s="81" t="s">
        <v>69</v>
      </c>
      <c r="B43" s="82" t="s">
        <v>1050</v>
      </c>
      <c r="C43" s="81" t="s">
        <v>931</v>
      </c>
      <c r="D43" s="81" t="s">
        <v>975</v>
      </c>
      <c r="E43" s="87"/>
    </row>
    <row r="44">
      <c r="A44" s="81" t="s">
        <v>69</v>
      </c>
      <c r="B44" s="82" t="s">
        <v>1051</v>
      </c>
      <c r="C44" s="81" t="s">
        <v>931</v>
      </c>
      <c r="D44" s="81" t="s">
        <v>996</v>
      </c>
      <c r="E44" s="87"/>
    </row>
    <row r="45">
      <c r="A45" s="81" t="s">
        <v>69</v>
      </c>
      <c r="B45" s="82" t="s">
        <v>1052</v>
      </c>
      <c r="C45" s="81" t="s">
        <v>931</v>
      </c>
      <c r="D45" s="81" t="s">
        <v>996</v>
      </c>
      <c r="E45" s="87"/>
    </row>
    <row r="46">
      <c r="A46" s="81" t="s">
        <v>69</v>
      </c>
      <c r="B46" s="82" t="s">
        <v>1053</v>
      </c>
      <c r="C46" s="81" t="s">
        <v>931</v>
      </c>
      <c r="D46" s="81" t="s">
        <v>996</v>
      </c>
      <c r="E46" s="87"/>
    </row>
    <row r="47">
      <c r="A47" s="81" t="s">
        <v>69</v>
      </c>
      <c r="B47" s="82" t="s">
        <v>1054</v>
      </c>
      <c r="C47" s="81" t="s">
        <v>931</v>
      </c>
      <c r="D47" s="81" t="s">
        <v>996</v>
      </c>
      <c r="E47" s="87"/>
    </row>
    <row r="48">
      <c r="A48" s="81" t="s">
        <v>69</v>
      </c>
      <c r="B48" s="90" t="s">
        <v>1055</v>
      </c>
      <c r="C48" s="81" t="s">
        <v>931</v>
      </c>
      <c r="D48" s="81" t="s">
        <v>996</v>
      </c>
      <c r="E48" s="87"/>
    </row>
    <row r="49">
      <c r="A49" s="81" t="s">
        <v>69</v>
      </c>
      <c r="B49" s="82" t="s">
        <v>1056</v>
      </c>
      <c r="C49" s="81" t="s">
        <v>931</v>
      </c>
      <c r="D49" s="81" t="s">
        <v>996</v>
      </c>
      <c r="E49" s="87"/>
    </row>
    <row r="50">
      <c r="A50" s="81" t="s">
        <v>69</v>
      </c>
      <c r="B50" s="82" t="s">
        <v>1057</v>
      </c>
      <c r="C50" s="81" t="s">
        <v>931</v>
      </c>
      <c r="D50" s="81" t="s">
        <v>996</v>
      </c>
      <c r="E50" s="87"/>
    </row>
    <row r="51">
      <c r="A51" s="81" t="s">
        <v>69</v>
      </c>
      <c r="B51" s="82" t="s">
        <v>1058</v>
      </c>
      <c r="C51" s="81" t="s">
        <v>931</v>
      </c>
      <c r="D51" s="81" t="s">
        <v>996</v>
      </c>
      <c r="E51" s="87"/>
    </row>
    <row r="52">
      <c r="A52" s="81" t="s">
        <v>69</v>
      </c>
      <c r="B52" s="82" t="s">
        <v>1059</v>
      </c>
      <c r="C52" s="81" t="s">
        <v>931</v>
      </c>
      <c r="D52" s="81" t="s">
        <v>996</v>
      </c>
      <c r="E52" s="87"/>
    </row>
    <row r="53">
      <c r="A53" s="81" t="s">
        <v>69</v>
      </c>
      <c r="B53" s="82" t="s">
        <v>1060</v>
      </c>
      <c r="C53" s="81" t="s">
        <v>931</v>
      </c>
      <c r="D53" s="81" t="s">
        <v>996</v>
      </c>
      <c r="E53" s="87"/>
    </row>
    <row r="54">
      <c r="A54" s="81" t="s">
        <v>69</v>
      </c>
      <c r="B54" s="82" t="s">
        <v>1061</v>
      </c>
      <c r="C54" s="81" t="s">
        <v>931</v>
      </c>
      <c r="D54" s="81" t="s">
        <v>996</v>
      </c>
      <c r="E54" s="87"/>
    </row>
    <row r="55">
      <c r="A55" s="81" t="s">
        <v>69</v>
      </c>
      <c r="B55" s="91" t="s">
        <v>1062</v>
      </c>
      <c r="C55" s="81" t="s">
        <v>931</v>
      </c>
      <c r="D55" s="81" t="s">
        <v>996</v>
      </c>
      <c r="E55" s="87"/>
    </row>
    <row r="56">
      <c r="A56" s="81" t="s">
        <v>69</v>
      </c>
      <c r="B56" s="82" t="s">
        <v>1063</v>
      </c>
      <c r="C56" s="81" t="s">
        <v>931</v>
      </c>
      <c r="D56" s="81" t="s">
        <v>996</v>
      </c>
      <c r="E56" s="87"/>
    </row>
    <row r="57">
      <c r="A57" s="81" t="s">
        <v>69</v>
      </c>
      <c r="B57" s="82" t="s">
        <v>1064</v>
      </c>
      <c r="C57" s="81" t="s">
        <v>931</v>
      </c>
      <c r="D57" s="81" t="s">
        <v>996</v>
      </c>
      <c r="E57" s="87"/>
    </row>
    <row r="58">
      <c r="A58" s="81" t="s">
        <v>69</v>
      </c>
      <c r="B58" s="82" t="s">
        <v>1184</v>
      </c>
      <c r="C58" s="81" t="s">
        <v>931</v>
      </c>
      <c r="D58" s="81" t="s">
        <v>996</v>
      </c>
      <c r="E58" s="87"/>
    </row>
    <row r="59">
      <c r="A59" s="81" t="s">
        <v>69</v>
      </c>
      <c r="B59" s="82" t="s">
        <v>1066</v>
      </c>
      <c r="C59" s="81" t="s">
        <v>931</v>
      </c>
      <c r="D59" s="81" t="s">
        <v>996</v>
      </c>
      <c r="E59" s="87"/>
    </row>
    <row r="60">
      <c r="A60" s="81" t="s">
        <v>69</v>
      </c>
      <c r="B60" s="82" t="s">
        <v>1067</v>
      </c>
      <c r="C60" s="81" t="s">
        <v>931</v>
      </c>
      <c r="D60" s="81" t="s">
        <v>996</v>
      </c>
      <c r="E60" s="87"/>
    </row>
    <row r="61">
      <c r="A61" s="81" t="s">
        <v>69</v>
      </c>
      <c r="B61" s="90" t="s">
        <v>1068</v>
      </c>
      <c r="C61" s="81" t="s">
        <v>931</v>
      </c>
      <c r="D61" s="81" t="s">
        <v>996</v>
      </c>
      <c r="E61" s="87"/>
    </row>
    <row r="62">
      <c r="A62" s="81" t="s">
        <v>69</v>
      </c>
      <c r="B62" s="90" t="s">
        <v>1069</v>
      </c>
      <c r="C62" s="81" t="s">
        <v>931</v>
      </c>
      <c r="D62" s="81" t="s">
        <v>996</v>
      </c>
      <c r="E62" s="87"/>
    </row>
    <row r="63">
      <c r="A63" s="81" t="s">
        <v>69</v>
      </c>
      <c r="B63" s="81" t="s">
        <v>1070</v>
      </c>
      <c r="C63" s="81" t="s">
        <v>931</v>
      </c>
      <c r="D63" s="81" t="s">
        <v>996</v>
      </c>
      <c r="E63" s="83" t="s">
        <v>1071</v>
      </c>
    </row>
    <row r="64">
      <c r="A64" s="81" t="s">
        <v>69</v>
      </c>
      <c r="B64" s="82" t="s">
        <v>1072</v>
      </c>
      <c r="C64" s="81" t="s">
        <v>931</v>
      </c>
      <c r="D64" s="81" t="s">
        <v>996</v>
      </c>
      <c r="E64" s="87"/>
    </row>
    <row r="65">
      <c r="A65" s="81" t="s">
        <v>69</v>
      </c>
      <c r="B65" s="82" t="s">
        <v>1067</v>
      </c>
      <c r="C65" s="81" t="s">
        <v>931</v>
      </c>
      <c r="D65" s="81" t="s">
        <v>996</v>
      </c>
      <c r="E65" s="87"/>
    </row>
    <row r="66">
      <c r="A66" s="81" t="s">
        <v>69</v>
      </c>
      <c r="B66" s="90" t="s">
        <v>1073</v>
      </c>
      <c r="C66" s="81" t="s">
        <v>931</v>
      </c>
      <c r="D66" s="81" t="s">
        <v>996</v>
      </c>
      <c r="E66" s="87"/>
    </row>
    <row r="67">
      <c r="A67" s="81" t="s">
        <v>69</v>
      </c>
      <c r="B67" s="82" t="s">
        <v>1074</v>
      </c>
      <c r="C67" s="81" t="s">
        <v>931</v>
      </c>
      <c r="D67" s="81" t="s">
        <v>996</v>
      </c>
      <c r="E67" s="87"/>
    </row>
    <row r="68">
      <c r="A68" s="81" t="s">
        <v>69</v>
      </c>
      <c r="B68" s="82" t="s">
        <v>1075</v>
      </c>
      <c r="C68" s="81" t="s">
        <v>931</v>
      </c>
      <c r="D68" s="81" t="s">
        <v>996</v>
      </c>
      <c r="E68" s="87"/>
    </row>
    <row r="69">
      <c r="A69" s="81" t="s">
        <v>69</v>
      </c>
      <c r="B69" s="92" t="s">
        <v>1076</v>
      </c>
      <c r="C69" s="81" t="s">
        <v>931</v>
      </c>
      <c r="D69" s="81" t="s">
        <v>996</v>
      </c>
      <c r="E69" s="83" t="s">
        <v>1185</v>
      </c>
    </row>
    <row r="70">
      <c r="A70" s="81" t="s">
        <v>69</v>
      </c>
      <c r="B70" s="91" t="s">
        <v>1078</v>
      </c>
      <c r="C70" s="81" t="s">
        <v>931</v>
      </c>
      <c r="D70" s="81" t="s">
        <v>996</v>
      </c>
      <c r="E70" s="87"/>
    </row>
    <row r="71">
      <c r="A71" s="81" t="s">
        <v>69</v>
      </c>
      <c r="B71" s="82" t="s">
        <v>1079</v>
      </c>
      <c r="C71" s="81" t="s">
        <v>931</v>
      </c>
      <c r="D71" s="81" t="s">
        <v>996</v>
      </c>
      <c r="E71" s="87"/>
    </row>
    <row r="72">
      <c r="A72" s="81" t="s">
        <v>69</v>
      </c>
      <c r="B72" s="87"/>
      <c r="C72" s="81" t="s">
        <v>931</v>
      </c>
      <c r="D72" s="81" t="s">
        <v>996</v>
      </c>
      <c r="E72" s="83" t="s">
        <v>1080</v>
      </c>
    </row>
    <row r="73">
      <c r="A73" s="81" t="s">
        <v>69</v>
      </c>
      <c r="B73" s="82" t="s">
        <v>1081</v>
      </c>
      <c r="C73" s="81" t="s">
        <v>931</v>
      </c>
      <c r="D73" s="81" t="s">
        <v>996</v>
      </c>
      <c r="E73" s="87"/>
    </row>
    <row r="74">
      <c r="A74" s="81" t="s">
        <v>1082</v>
      </c>
      <c r="B74" s="82" t="s">
        <v>1083</v>
      </c>
      <c r="C74" s="81" t="s">
        <v>931</v>
      </c>
      <c r="D74" s="81" t="s">
        <v>996</v>
      </c>
      <c r="E74" s="87"/>
    </row>
    <row r="75">
      <c r="A75" s="81" t="s">
        <v>90</v>
      </c>
      <c r="B75" s="82" t="s">
        <v>1084</v>
      </c>
      <c r="C75" s="81" t="s">
        <v>89</v>
      </c>
      <c r="D75" s="81" t="s">
        <v>996</v>
      </c>
      <c r="E75" s="87"/>
    </row>
    <row r="76">
      <c r="A76" s="81" t="s">
        <v>90</v>
      </c>
      <c r="B76" s="93"/>
      <c r="C76" s="81" t="s">
        <v>89</v>
      </c>
      <c r="D76" s="81" t="s">
        <v>996</v>
      </c>
      <c r="E76" s="94" t="s">
        <v>1186</v>
      </c>
    </row>
    <row r="77">
      <c r="A77" s="81" t="s">
        <v>94</v>
      </c>
      <c r="B77" s="95" t="s">
        <v>1086</v>
      </c>
      <c r="C77" s="81" t="s">
        <v>93</v>
      </c>
      <c r="D77" s="81" t="s">
        <v>975</v>
      </c>
      <c r="E77" s="87"/>
    </row>
    <row r="78">
      <c r="A78" s="81" t="s">
        <v>99</v>
      </c>
      <c r="B78" s="82" t="s">
        <v>1087</v>
      </c>
      <c r="C78" s="81" t="s">
        <v>938</v>
      </c>
      <c r="D78" s="81" t="s">
        <v>975</v>
      </c>
      <c r="E78" s="96" t="s">
        <v>1088</v>
      </c>
    </row>
    <row r="79">
      <c r="A79" s="81" t="s">
        <v>99</v>
      </c>
      <c r="B79" s="82" t="s">
        <v>1089</v>
      </c>
      <c r="C79" s="81" t="s">
        <v>938</v>
      </c>
      <c r="D79" s="81" t="s">
        <v>975</v>
      </c>
      <c r="E79" s="96" t="s">
        <v>1090</v>
      </c>
    </row>
    <row r="80">
      <c r="A80" s="81" t="s">
        <v>99</v>
      </c>
      <c r="B80" s="82" t="s">
        <v>1091</v>
      </c>
      <c r="C80" s="81" t="s">
        <v>938</v>
      </c>
      <c r="D80" s="81" t="s">
        <v>975</v>
      </c>
      <c r="E80" s="96" t="s">
        <v>1092</v>
      </c>
    </row>
    <row r="81">
      <c r="A81" s="81" t="s">
        <v>99</v>
      </c>
      <c r="B81" s="82" t="s">
        <v>1093</v>
      </c>
      <c r="C81" s="81" t="s">
        <v>98</v>
      </c>
      <c r="D81" s="81" t="s">
        <v>975</v>
      </c>
      <c r="E81" s="83" t="s">
        <v>1094</v>
      </c>
    </row>
    <row r="82">
      <c r="A82" s="81" t="s">
        <v>99</v>
      </c>
      <c r="B82" s="82" t="s">
        <v>1095</v>
      </c>
      <c r="C82" s="81" t="s">
        <v>938</v>
      </c>
      <c r="D82" s="81" t="s">
        <v>996</v>
      </c>
      <c r="E82" s="96" t="s">
        <v>1096</v>
      </c>
    </row>
    <row r="83">
      <c r="A83" s="81" t="s">
        <v>99</v>
      </c>
      <c r="B83" s="82" t="s">
        <v>1097</v>
      </c>
      <c r="C83" s="81" t="s">
        <v>938</v>
      </c>
      <c r="D83" s="81" t="s">
        <v>996</v>
      </c>
      <c r="E83" s="96" t="s">
        <v>1098</v>
      </c>
    </row>
    <row r="84">
      <c r="A84" s="81" t="s">
        <v>99</v>
      </c>
      <c r="B84" s="82" t="s">
        <v>1099</v>
      </c>
      <c r="C84" s="81" t="s">
        <v>98</v>
      </c>
      <c r="D84" s="81" t="s">
        <v>996</v>
      </c>
      <c r="E84" s="83" t="s">
        <v>1100</v>
      </c>
    </row>
    <row r="85">
      <c r="A85" s="81" t="s">
        <v>99</v>
      </c>
      <c r="B85" s="82" t="s">
        <v>1101</v>
      </c>
      <c r="C85" s="81" t="s">
        <v>98</v>
      </c>
      <c r="D85" s="81" t="s">
        <v>996</v>
      </c>
      <c r="E85" s="83" t="s">
        <v>1102</v>
      </c>
    </row>
    <row r="86">
      <c r="A86" s="81" t="s">
        <v>99</v>
      </c>
      <c r="B86" s="82" t="s">
        <v>1039</v>
      </c>
      <c r="C86" s="81" t="s">
        <v>98</v>
      </c>
      <c r="D86" s="81" t="s">
        <v>996</v>
      </c>
      <c r="E86" s="83" t="s">
        <v>1040</v>
      </c>
    </row>
    <row r="87">
      <c r="A87" s="81" t="s">
        <v>99</v>
      </c>
      <c r="B87" s="82" t="s">
        <v>1103</v>
      </c>
      <c r="C87" s="81" t="s">
        <v>931</v>
      </c>
      <c r="D87" s="81" t="s">
        <v>996</v>
      </c>
      <c r="E87" s="87"/>
    </row>
    <row r="88">
      <c r="A88" s="81" t="s">
        <v>107</v>
      </c>
      <c r="B88" s="82" t="s">
        <v>1104</v>
      </c>
      <c r="C88" s="81" t="s">
        <v>106</v>
      </c>
      <c r="D88" s="81" t="s">
        <v>996</v>
      </c>
      <c r="E88" s="83" t="s">
        <v>1105</v>
      </c>
    </row>
    <row r="89">
      <c r="A89" s="81" t="s">
        <v>107</v>
      </c>
      <c r="B89" s="81" t="s">
        <v>1114</v>
      </c>
      <c r="C89" s="81" t="s">
        <v>1107</v>
      </c>
      <c r="D89" s="81" t="s">
        <v>996</v>
      </c>
      <c r="E89" s="97" t="s">
        <v>1108</v>
      </c>
    </row>
    <row r="90">
      <c r="A90" s="81" t="s">
        <v>1109</v>
      </c>
      <c r="B90" s="95" t="s">
        <v>1110</v>
      </c>
      <c r="C90" s="81" t="s">
        <v>110</v>
      </c>
      <c r="D90" s="81" t="s">
        <v>996</v>
      </c>
      <c r="E90" s="87"/>
    </row>
    <row r="91">
      <c r="A91" s="81" t="s">
        <v>1109</v>
      </c>
      <c r="B91" s="82" t="s">
        <v>1111</v>
      </c>
      <c r="C91" s="81" t="s">
        <v>110</v>
      </c>
      <c r="D91" s="81" t="s">
        <v>996</v>
      </c>
      <c r="E91" s="87"/>
    </row>
    <row r="92">
      <c r="A92" s="81" t="s">
        <v>1109</v>
      </c>
      <c r="B92" s="82" t="s">
        <v>1112</v>
      </c>
      <c r="C92" s="81" t="s">
        <v>521</v>
      </c>
      <c r="D92" s="87"/>
      <c r="E92" s="87"/>
    </row>
    <row r="93">
      <c r="A93" s="81" t="s">
        <v>1109</v>
      </c>
      <c r="B93" s="82" t="s">
        <v>1113</v>
      </c>
      <c r="C93" s="85" t="s">
        <v>521</v>
      </c>
      <c r="D93" s="87"/>
      <c r="E93" s="87"/>
    </row>
    <row r="94">
      <c r="A94" s="81" t="s">
        <v>121</v>
      </c>
      <c r="B94" s="82" t="s">
        <v>1118</v>
      </c>
      <c r="C94" s="81" t="s">
        <v>931</v>
      </c>
      <c r="D94" s="81" t="s">
        <v>996</v>
      </c>
      <c r="E94" s="87"/>
    </row>
    <row r="95">
      <c r="A95" s="81" t="s">
        <v>146</v>
      </c>
      <c r="B95" s="82" t="s">
        <v>1126</v>
      </c>
      <c r="C95" s="81" t="s">
        <v>931</v>
      </c>
      <c r="D95" s="81" t="s">
        <v>996</v>
      </c>
      <c r="E95" s="87"/>
    </row>
    <row r="96">
      <c r="A96" s="81" t="s">
        <v>149</v>
      </c>
      <c r="B96" s="82" t="s">
        <v>1127</v>
      </c>
      <c r="C96" s="81" t="s">
        <v>647</v>
      </c>
      <c r="D96" s="87"/>
      <c r="E96" s="83" t="s">
        <v>1128</v>
      </c>
    </row>
    <row r="97">
      <c r="A97" s="81" t="s">
        <v>149</v>
      </c>
      <c r="B97" s="82" t="s">
        <v>1129</v>
      </c>
      <c r="C97" s="81" t="s">
        <v>647</v>
      </c>
      <c r="D97" s="87"/>
      <c r="E97" s="83" t="s">
        <v>1130</v>
      </c>
    </row>
    <row r="98">
      <c r="A98" s="81" t="s">
        <v>149</v>
      </c>
      <c r="B98" s="82" t="s">
        <v>1131</v>
      </c>
      <c r="C98" s="81" t="s">
        <v>647</v>
      </c>
      <c r="D98" s="87"/>
      <c r="E98" s="83" t="s">
        <v>1132</v>
      </c>
    </row>
    <row r="99">
      <c r="A99" s="81" t="s">
        <v>149</v>
      </c>
      <c r="B99" s="82" t="s">
        <v>1133</v>
      </c>
      <c r="C99" s="81" t="s">
        <v>647</v>
      </c>
      <c r="D99" s="87"/>
      <c r="E99" s="83" t="s">
        <v>1134</v>
      </c>
    </row>
    <row r="100">
      <c r="A100" s="81" t="s">
        <v>153</v>
      </c>
      <c r="B100" s="82" t="s">
        <v>1135</v>
      </c>
      <c r="C100" s="81" t="s">
        <v>156</v>
      </c>
      <c r="D100" s="81" t="s">
        <v>996</v>
      </c>
      <c r="E100" s="83" t="s">
        <v>1136</v>
      </c>
    </row>
    <row r="101">
      <c r="A101" s="81" t="s">
        <v>161</v>
      </c>
      <c r="B101" s="82" t="s">
        <v>1137</v>
      </c>
      <c r="C101" s="81" t="s">
        <v>160</v>
      </c>
      <c r="D101" s="87"/>
      <c r="E101" s="98" t="s">
        <v>1138</v>
      </c>
    </row>
    <row r="102">
      <c r="A102" s="81" t="s">
        <v>169</v>
      </c>
      <c r="B102" s="99" t="s">
        <v>1139</v>
      </c>
      <c r="C102" s="81" t="s">
        <v>168</v>
      </c>
      <c r="D102" s="81" t="s">
        <v>996</v>
      </c>
      <c r="E102" s="87"/>
    </row>
    <row r="103">
      <c r="A103" s="81" t="s">
        <v>169</v>
      </c>
      <c r="B103" s="100" t="s">
        <v>1140</v>
      </c>
      <c r="C103" s="81" t="s">
        <v>168</v>
      </c>
      <c r="D103" s="81" t="s">
        <v>996</v>
      </c>
      <c r="E103" s="87"/>
    </row>
    <row r="104">
      <c r="A104" s="81" t="s">
        <v>169</v>
      </c>
      <c r="B104" s="82" t="s">
        <v>1083</v>
      </c>
      <c r="C104" s="81" t="s">
        <v>183</v>
      </c>
      <c r="D104" s="81" t="s">
        <v>996</v>
      </c>
      <c r="E104" s="87"/>
    </row>
    <row r="105">
      <c r="A105" s="81" t="s">
        <v>169</v>
      </c>
      <c r="B105" s="82" t="s">
        <v>1141</v>
      </c>
      <c r="C105" s="82" t="s">
        <v>1142</v>
      </c>
      <c r="D105" s="81" t="s">
        <v>996</v>
      </c>
      <c r="E105" s="87"/>
    </row>
    <row r="106">
      <c r="A106" s="81" t="s">
        <v>169</v>
      </c>
      <c r="B106" s="82" t="s">
        <v>1143</v>
      </c>
      <c r="C106" s="82" t="s">
        <v>1142</v>
      </c>
      <c r="D106" s="81" t="s">
        <v>996</v>
      </c>
      <c r="E106" s="87"/>
    </row>
    <row r="107">
      <c r="A107" s="81" t="s">
        <v>169</v>
      </c>
      <c r="B107" s="101" t="s">
        <v>1144</v>
      </c>
      <c r="C107" s="82" t="s">
        <v>1142</v>
      </c>
      <c r="D107" s="81" t="s">
        <v>996</v>
      </c>
      <c r="E107" s="102" t="s">
        <v>1145</v>
      </c>
    </row>
    <row r="108">
      <c r="A108" s="81" t="s">
        <v>169</v>
      </c>
      <c r="B108" s="95" t="s">
        <v>1146</v>
      </c>
      <c r="C108" s="82" t="s">
        <v>1142</v>
      </c>
      <c r="D108" s="81" t="s">
        <v>1147</v>
      </c>
      <c r="E108" s="103" t="s">
        <v>1187</v>
      </c>
    </row>
    <row r="109">
      <c r="A109" s="81" t="s">
        <v>192</v>
      </c>
      <c r="B109" s="82" t="s">
        <v>1149</v>
      </c>
      <c r="C109" s="81" t="s">
        <v>217</v>
      </c>
      <c r="D109" s="81" t="s">
        <v>996</v>
      </c>
      <c r="E109" s="87"/>
    </row>
    <row r="110">
      <c r="A110" s="81" t="s">
        <v>192</v>
      </c>
      <c r="B110" s="82" t="s">
        <v>1150</v>
      </c>
      <c r="C110" s="81" t="s">
        <v>191</v>
      </c>
      <c r="D110" s="81" t="s">
        <v>996</v>
      </c>
      <c r="E110" s="87"/>
    </row>
    <row r="111">
      <c r="A111" s="81" t="s">
        <v>265</v>
      </c>
      <c r="B111" s="93"/>
      <c r="C111" s="81" t="s">
        <v>740</v>
      </c>
      <c r="D111" s="81" t="s">
        <v>996</v>
      </c>
      <c r="E111" s="81" t="s">
        <v>1151</v>
      </c>
    </row>
    <row r="112">
      <c r="A112" s="81" t="s">
        <v>1152</v>
      </c>
      <c r="B112" s="82" t="s">
        <v>1150</v>
      </c>
      <c r="C112" s="81" t="s">
        <v>740</v>
      </c>
      <c r="D112" s="81" t="s">
        <v>996</v>
      </c>
      <c r="E112" s="87"/>
    </row>
    <row r="113">
      <c r="A113" s="81" t="s">
        <v>202</v>
      </c>
      <c r="B113" s="82" t="s">
        <v>1153</v>
      </c>
      <c r="C113" s="81" t="s">
        <v>201</v>
      </c>
      <c r="D113" s="81" t="s">
        <v>996</v>
      </c>
      <c r="E113" s="83" t="s">
        <v>1154</v>
      </c>
    </row>
    <row r="114">
      <c r="A114" s="81" t="s">
        <v>202</v>
      </c>
      <c r="B114" s="82" t="s">
        <v>1155</v>
      </c>
      <c r="C114" s="81" t="s">
        <v>201</v>
      </c>
      <c r="D114" s="81" t="s">
        <v>996</v>
      </c>
      <c r="E114" s="83" t="s">
        <v>1156</v>
      </c>
    </row>
    <row r="115">
      <c r="A115" s="81" t="s">
        <v>205</v>
      </c>
      <c r="B115" s="95" t="s">
        <v>1157</v>
      </c>
      <c r="C115" s="81" t="s">
        <v>1158</v>
      </c>
      <c r="D115" s="81" t="s">
        <v>996</v>
      </c>
      <c r="E115" s="87"/>
    </row>
    <row r="116">
      <c r="A116" s="81" t="s">
        <v>205</v>
      </c>
      <c r="B116" s="82" t="s">
        <v>1159</v>
      </c>
      <c r="C116" s="81" t="s">
        <v>1158</v>
      </c>
      <c r="D116" s="81" t="s">
        <v>996</v>
      </c>
      <c r="E116" s="87"/>
    </row>
    <row r="117">
      <c r="A117" s="81" t="s">
        <v>205</v>
      </c>
      <c r="B117" s="82" t="s">
        <v>1160</v>
      </c>
      <c r="C117" s="81" t="s">
        <v>1158</v>
      </c>
      <c r="D117" s="81" t="s">
        <v>996</v>
      </c>
      <c r="E117" s="87"/>
    </row>
    <row r="118">
      <c r="A118" s="81" t="s">
        <v>205</v>
      </c>
      <c r="B118" s="82" t="s">
        <v>1161</v>
      </c>
      <c r="C118" s="81" t="s">
        <v>1158</v>
      </c>
      <c r="D118" s="81" t="s">
        <v>996</v>
      </c>
      <c r="E118" s="87"/>
    </row>
    <row r="119">
      <c r="A119" s="81" t="s">
        <v>205</v>
      </c>
      <c r="B119" s="82" t="s">
        <v>1162</v>
      </c>
      <c r="C119" s="81" t="s">
        <v>1158</v>
      </c>
      <c r="D119" s="81" t="s">
        <v>996</v>
      </c>
      <c r="E119" s="87"/>
    </row>
    <row r="120">
      <c r="A120" s="81" t="s">
        <v>205</v>
      </c>
      <c r="B120" s="82" t="s">
        <v>1163</v>
      </c>
      <c r="C120" s="81" t="s">
        <v>1158</v>
      </c>
      <c r="D120" s="81" t="s">
        <v>996</v>
      </c>
      <c r="E120" s="87"/>
    </row>
    <row r="121">
      <c r="A121" s="81" t="s">
        <v>205</v>
      </c>
      <c r="B121" s="82" t="s">
        <v>1164</v>
      </c>
      <c r="C121" s="81" t="s">
        <v>1158</v>
      </c>
      <c r="D121" s="81" t="s">
        <v>996</v>
      </c>
      <c r="E121" s="87"/>
    </row>
    <row r="122">
      <c r="A122" s="81" t="s">
        <v>205</v>
      </c>
      <c r="B122" s="82" t="s">
        <v>1165</v>
      </c>
      <c r="C122" s="81" t="s">
        <v>1158</v>
      </c>
      <c r="D122" s="81" t="s">
        <v>996</v>
      </c>
      <c r="E122" s="87"/>
    </row>
    <row r="123">
      <c r="A123" s="81" t="s">
        <v>205</v>
      </c>
      <c r="B123" s="82" t="s">
        <v>1166</v>
      </c>
      <c r="C123" s="81" t="s">
        <v>1158</v>
      </c>
      <c r="D123" s="81" t="s">
        <v>996</v>
      </c>
      <c r="E123" s="87"/>
    </row>
    <row r="124">
      <c r="A124" s="81" t="s">
        <v>205</v>
      </c>
      <c r="B124" s="82" t="s">
        <v>1157</v>
      </c>
      <c r="C124" s="81" t="s">
        <v>1158</v>
      </c>
      <c r="D124" s="81" t="s">
        <v>996</v>
      </c>
      <c r="E124" s="87"/>
    </row>
    <row r="125">
      <c r="A125" s="81" t="s">
        <v>205</v>
      </c>
      <c r="B125" s="82" t="s">
        <v>1167</v>
      </c>
      <c r="C125" s="81" t="s">
        <v>1158</v>
      </c>
      <c r="D125" s="81" t="s">
        <v>996</v>
      </c>
      <c r="E125" s="87"/>
    </row>
    <row r="126">
      <c r="A126" s="81" t="s">
        <v>205</v>
      </c>
      <c r="B126" s="82" t="s">
        <v>1168</v>
      </c>
      <c r="C126" s="81" t="s">
        <v>1158</v>
      </c>
      <c r="D126" s="81" t="s">
        <v>996</v>
      </c>
      <c r="E126" s="87"/>
    </row>
    <row r="127">
      <c r="A127" s="81" t="s">
        <v>205</v>
      </c>
      <c r="B127" s="82" t="s">
        <v>1168</v>
      </c>
      <c r="C127" s="81" t="s">
        <v>1158</v>
      </c>
      <c r="D127" s="81" t="s">
        <v>996</v>
      </c>
      <c r="E127" s="87"/>
    </row>
    <row r="128">
      <c r="A128" s="81" t="s">
        <v>205</v>
      </c>
      <c r="B128" s="88" t="s">
        <v>1169</v>
      </c>
      <c r="C128" s="81" t="s">
        <v>210</v>
      </c>
      <c r="D128" s="81" t="s">
        <v>996</v>
      </c>
      <c r="E128" s="87"/>
    </row>
    <row r="129">
      <c r="A129" s="81" t="s">
        <v>205</v>
      </c>
      <c r="B129" s="88" t="s">
        <v>1170</v>
      </c>
      <c r="C129" s="81" t="s">
        <v>210</v>
      </c>
      <c r="D129" s="81" t="s">
        <v>996</v>
      </c>
      <c r="E129" s="87"/>
    </row>
    <row r="130">
      <c r="A130" s="81" t="s">
        <v>205</v>
      </c>
      <c r="B130" s="82" t="s">
        <v>1171</v>
      </c>
      <c r="C130" s="81" t="s">
        <v>210</v>
      </c>
      <c r="D130" s="81" t="s">
        <v>996</v>
      </c>
      <c r="E130" s="83" t="s">
        <v>1172</v>
      </c>
    </row>
    <row r="131">
      <c r="A131" s="2" t="s">
        <v>1173</v>
      </c>
      <c r="B131" s="79" t="s">
        <v>1174</v>
      </c>
      <c r="C131" s="2" t="s">
        <v>238</v>
      </c>
      <c r="D131" s="2" t="s">
        <v>996</v>
      </c>
    </row>
    <row r="132">
      <c r="A132" s="2" t="s">
        <v>1173</v>
      </c>
      <c r="B132" s="20" t="s">
        <v>1175</v>
      </c>
      <c r="C132" s="2" t="s">
        <v>238</v>
      </c>
      <c r="D132" s="2" t="s">
        <v>996</v>
      </c>
    </row>
    <row r="133">
      <c r="A133" s="2" t="s">
        <v>1173</v>
      </c>
      <c r="B133" s="20" t="s">
        <v>1176</v>
      </c>
      <c r="C133" s="2" t="s">
        <v>238</v>
      </c>
      <c r="D133" s="2" t="s">
        <v>996</v>
      </c>
    </row>
    <row r="134">
      <c r="A134" s="2" t="s">
        <v>1188</v>
      </c>
      <c r="B134" s="104" t="s">
        <v>1189</v>
      </c>
      <c r="C134" s="2" t="s">
        <v>164</v>
      </c>
      <c r="D134" s="2" t="s">
        <v>975</v>
      </c>
      <c r="E134" s="105" t="s">
        <v>1190</v>
      </c>
    </row>
    <row r="135">
      <c r="A135" s="2" t="s">
        <v>1188</v>
      </c>
      <c r="B135" s="104" t="s">
        <v>1191</v>
      </c>
      <c r="C135" s="2" t="s">
        <v>164</v>
      </c>
      <c r="D135" s="2" t="s">
        <v>975</v>
      </c>
      <c r="E135" s="106" t="s">
        <v>1192</v>
      </c>
    </row>
    <row r="136">
      <c r="A136" s="2" t="s">
        <v>1188</v>
      </c>
      <c r="B136" s="104" t="s">
        <v>1193</v>
      </c>
      <c r="C136" s="2" t="s">
        <v>164</v>
      </c>
      <c r="D136" s="2" t="s">
        <v>975</v>
      </c>
      <c r="E136" s="105" t="s">
        <v>1194</v>
      </c>
    </row>
    <row r="137">
      <c r="A137" s="2" t="s">
        <v>1188</v>
      </c>
      <c r="B137" s="104" t="s">
        <v>1195</v>
      </c>
      <c r="C137" s="2" t="s">
        <v>164</v>
      </c>
      <c r="D137" s="2" t="s">
        <v>975</v>
      </c>
      <c r="E137" s="105" t="s">
        <v>1196</v>
      </c>
    </row>
    <row r="138">
      <c r="A138" s="2" t="s">
        <v>1188</v>
      </c>
      <c r="B138" s="19" t="s">
        <v>1197</v>
      </c>
      <c r="C138" s="2" t="s">
        <v>164</v>
      </c>
      <c r="D138" s="2" t="s">
        <v>975</v>
      </c>
      <c r="E138" s="105" t="s">
        <v>1198</v>
      </c>
    </row>
    <row r="139">
      <c r="A139" s="2" t="s">
        <v>1188</v>
      </c>
      <c r="B139" s="104" t="s">
        <v>1199</v>
      </c>
      <c r="C139" s="2" t="s">
        <v>164</v>
      </c>
      <c r="D139" s="2" t="s">
        <v>975</v>
      </c>
      <c r="E139" s="105" t="s">
        <v>1200</v>
      </c>
    </row>
    <row r="140">
      <c r="A140" s="2" t="s">
        <v>1188</v>
      </c>
      <c r="B140" s="20" t="s">
        <v>1201</v>
      </c>
      <c r="C140" s="2" t="s">
        <v>164</v>
      </c>
      <c r="D140" s="2" t="s">
        <v>975</v>
      </c>
      <c r="E140" s="2" t="s">
        <v>1202</v>
      </c>
    </row>
  </sheetData>
  <hyperlinks>
    <hyperlink r:id="rId1" ref="B2"/>
    <hyperlink r:id="rId2" ref="C2"/>
    <hyperlink r:id="rId3" ref="B4"/>
    <hyperlink r:id="rId4" ref="B11"/>
    <hyperlink r:id="rId5" ref="B12"/>
    <hyperlink r:id="rId6" ref="B13"/>
    <hyperlink r:id="rId7" ref="B14"/>
    <hyperlink r:id="rId8" ref="B15"/>
    <hyperlink r:id="rId9" ref="B16"/>
    <hyperlink r:id="rId10" ref="B17"/>
    <hyperlink r:id="rId11" ref="B18"/>
    <hyperlink r:id="rId12" ref="B19"/>
    <hyperlink r:id="rId13" ref="B20"/>
    <hyperlink r:id="rId14" ref="B21"/>
    <hyperlink r:id="rId15" ref="B22"/>
    <hyperlink r:id="rId16" ref="B23"/>
    <hyperlink r:id="rId17" ref="B24"/>
    <hyperlink r:id="rId18" ref="B25"/>
    <hyperlink r:id="rId19" ref="B26"/>
    <hyperlink r:id="rId20" ref="B27"/>
    <hyperlink r:id="rId21" ref="B28"/>
    <hyperlink r:id="rId22" ref="B29"/>
    <hyperlink r:id="rId23" ref="B30"/>
    <hyperlink r:id="rId24" ref="B31"/>
    <hyperlink r:id="rId25" ref="B32"/>
    <hyperlink r:id="rId26" ref="B33"/>
    <hyperlink r:id="rId27" ref="B34"/>
    <hyperlink r:id="rId28" ref="B35"/>
    <hyperlink r:id="rId29" ref="B36"/>
    <hyperlink r:id="rId30" ref="B37"/>
    <hyperlink r:id="rId31" ref="B38"/>
    <hyperlink r:id="rId32" ref="B39"/>
    <hyperlink r:id="rId33" ref="B40"/>
    <hyperlink r:id="rId34" ref="B41"/>
    <hyperlink r:id="rId35" ref="B42"/>
    <hyperlink r:id="rId36" ref="B43"/>
    <hyperlink r:id="rId37" ref="B44"/>
    <hyperlink r:id="rId38" ref="B45"/>
    <hyperlink r:id="rId39" ref="B46"/>
    <hyperlink r:id="rId40" ref="B47"/>
    <hyperlink r:id="rId41" ref="B48"/>
    <hyperlink r:id="rId42" ref="B49"/>
    <hyperlink r:id="rId43" ref="B50"/>
    <hyperlink r:id="rId44" ref="B51"/>
    <hyperlink r:id="rId45" ref="B52"/>
    <hyperlink r:id="rId46" ref="B53"/>
    <hyperlink r:id="rId47" ref="B54"/>
    <hyperlink r:id="rId48" ref="B55"/>
    <hyperlink r:id="rId49" ref="B56"/>
    <hyperlink r:id="rId50" ref="B57"/>
    <hyperlink r:id="rId51" ref="B58"/>
    <hyperlink r:id="rId52" ref="B59"/>
    <hyperlink r:id="rId53" ref="B60"/>
    <hyperlink r:id="rId54" ref="B61"/>
    <hyperlink r:id="rId55" ref="B62"/>
    <hyperlink r:id="rId56" ref="B64"/>
    <hyperlink r:id="rId57" ref="B65"/>
    <hyperlink r:id="rId58" ref="B66"/>
    <hyperlink r:id="rId59" ref="B67"/>
    <hyperlink r:id="rId60" ref="B68"/>
    <hyperlink r:id="rId61" ref="B69"/>
    <hyperlink r:id="rId62" ref="B70"/>
    <hyperlink r:id="rId63" ref="B71"/>
    <hyperlink r:id="rId64" ref="B73"/>
    <hyperlink r:id="rId65" ref="B74"/>
    <hyperlink r:id="rId66" ref="B75"/>
    <hyperlink r:id="rId67" ref="E76"/>
    <hyperlink r:id="rId68" ref="B77"/>
    <hyperlink r:id="rId69" ref="B78"/>
    <hyperlink r:id="rId70" ref="B79"/>
    <hyperlink r:id="rId71" ref="B80"/>
    <hyperlink r:id="rId72" ref="B81"/>
    <hyperlink r:id="rId73" ref="B82"/>
    <hyperlink r:id="rId74" ref="B83"/>
    <hyperlink r:id="rId75" ref="B84"/>
    <hyperlink r:id="rId76" ref="B85"/>
    <hyperlink r:id="rId77" ref="B86"/>
    <hyperlink r:id="rId78" ref="B87"/>
    <hyperlink r:id="rId79" ref="B88"/>
    <hyperlink r:id="rId80" ref="B90"/>
    <hyperlink r:id="rId81" ref="B91"/>
    <hyperlink r:id="rId82" ref="B92"/>
    <hyperlink r:id="rId83" ref="B93"/>
    <hyperlink r:id="rId84" ref="B94"/>
    <hyperlink r:id="rId85" ref="B95"/>
    <hyperlink r:id="rId86" ref="B96"/>
    <hyperlink r:id="rId87" ref="B97"/>
    <hyperlink r:id="rId88" ref="B98"/>
    <hyperlink r:id="rId89" ref="B99"/>
    <hyperlink r:id="rId90" ref="B100"/>
    <hyperlink r:id="rId91" ref="B101"/>
    <hyperlink r:id="rId92" ref="B103"/>
    <hyperlink r:id="rId93" ref="B104"/>
    <hyperlink r:id="rId94" ref="B105"/>
    <hyperlink r:id="rId95" ref="C105"/>
    <hyperlink r:id="rId96" ref="B106"/>
    <hyperlink r:id="rId97" ref="C106"/>
    <hyperlink r:id="rId98" ref="C107"/>
    <hyperlink r:id="rId99" ref="B108"/>
    <hyperlink r:id="rId100" ref="C108"/>
    <hyperlink r:id="rId101" ref="E108"/>
    <hyperlink r:id="rId102" ref="B109"/>
    <hyperlink r:id="rId103" ref="B110"/>
    <hyperlink r:id="rId104" ref="B112"/>
    <hyperlink r:id="rId105" ref="B113"/>
    <hyperlink r:id="rId106" ref="B114"/>
    <hyperlink r:id="rId107" ref="B115"/>
    <hyperlink r:id="rId108" ref="B116"/>
    <hyperlink r:id="rId109" ref="B117"/>
    <hyperlink r:id="rId110" ref="B118"/>
    <hyperlink r:id="rId111" ref="B119"/>
    <hyperlink r:id="rId112" ref="B120"/>
    <hyperlink r:id="rId113" ref="B121"/>
    <hyperlink r:id="rId114" ref="B122"/>
    <hyperlink r:id="rId115" ref="B123"/>
    <hyperlink r:id="rId116" ref="B124"/>
    <hyperlink r:id="rId117" ref="B125"/>
    <hyperlink r:id="rId118" ref="B126"/>
    <hyperlink r:id="rId119" ref="B127"/>
    <hyperlink r:id="rId120" ref="B128"/>
    <hyperlink r:id="rId121" ref="B129"/>
    <hyperlink r:id="rId122" ref="B130"/>
    <hyperlink r:id="rId123" ref="B131"/>
    <hyperlink r:id="rId124" ref="B132"/>
    <hyperlink r:id="rId125" ref="B133"/>
    <hyperlink r:id="rId126" ref="B134"/>
    <hyperlink r:id="rId127" ref="B135"/>
    <hyperlink r:id="rId128" ref="B136"/>
    <hyperlink r:id="rId129" ref="B137"/>
    <hyperlink r:id="rId130" ref="B138"/>
    <hyperlink r:id="rId131" ref="B139"/>
    <hyperlink r:id="rId132" ref="B140"/>
  </hyperlinks>
  <drawing r:id="rId1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5"/>
    <col customWidth="1" min="2" max="2" width="79.5"/>
    <col customWidth="1" min="3" max="3" width="19.63"/>
    <col customWidth="1" min="5" max="5" width="54.13"/>
    <col customWidth="1" min="6" max="6" width="21.38"/>
    <col customWidth="1" min="8" max="8" width="18.38"/>
    <col customWidth="1" min="10" max="10" width="18.38"/>
  </cols>
  <sheetData>
    <row r="1">
      <c r="A1" s="107" t="s">
        <v>1203</v>
      </c>
      <c r="B1" s="108"/>
      <c r="C1" s="108"/>
      <c r="D1" s="108"/>
      <c r="E1" s="108"/>
      <c r="F1" s="108"/>
      <c r="G1" s="108"/>
      <c r="H1" s="108"/>
      <c r="I1" s="108"/>
      <c r="J1" s="108"/>
      <c r="K1" s="108"/>
      <c r="L1" s="108"/>
    </row>
    <row r="2">
      <c r="A2" s="109" t="s">
        <v>270</v>
      </c>
      <c r="B2" s="110" t="s">
        <v>1204</v>
      </c>
      <c r="C2" s="110" t="s">
        <v>1205</v>
      </c>
      <c r="D2" s="110" t="s">
        <v>1206</v>
      </c>
      <c r="E2" s="110" t="s">
        <v>1207</v>
      </c>
      <c r="F2" s="110" t="s">
        <v>1208</v>
      </c>
      <c r="G2" s="110" t="s">
        <v>1209</v>
      </c>
      <c r="H2" s="110" t="s">
        <v>1210</v>
      </c>
      <c r="I2" s="110" t="s">
        <v>1211</v>
      </c>
      <c r="J2" s="110" t="s">
        <v>1212</v>
      </c>
      <c r="K2" s="110" t="s">
        <v>1213</v>
      </c>
      <c r="L2" s="110" t="s">
        <v>1214</v>
      </c>
      <c r="M2" s="111"/>
    </row>
    <row r="3">
      <c r="A3" s="27" t="s">
        <v>1215</v>
      </c>
      <c r="B3" s="27" t="s">
        <v>1215</v>
      </c>
      <c r="C3" s="27" t="s">
        <v>1215</v>
      </c>
      <c r="D3" s="27" t="s">
        <v>1215</v>
      </c>
      <c r="E3" s="27" t="s">
        <v>1215</v>
      </c>
      <c r="F3" s="27" t="s">
        <v>1215</v>
      </c>
      <c r="G3" s="27" t="s">
        <v>1215</v>
      </c>
      <c r="H3" s="27" t="s">
        <v>1215</v>
      </c>
      <c r="I3" s="27" t="s">
        <v>1215</v>
      </c>
      <c r="J3" s="27" t="s">
        <v>1215</v>
      </c>
      <c r="K3" s="27" t="s">
        <v>1215</v>
      </c>
      <c r="L3" s="27" t="s">
        <v>1215</v>
      </c>
    </row>
    <row r="4">
      <c r="A4" s="27" t="s">
        <v>90</v>
      </c>
      <c r="B4" s="27" t="s">
        <v>1216</v>
      </c>
      <c r="C4" s="27" t="s">
        <v>1217</v>
      </c>
      <c r="D4" s="28"/>
      <c r="E4" s="27" t="s">
        <v>1218</v>
      </c>
      <c r="F4" s="27" t="s">
        <v>90</v>
      </c>
      <c r="G4" s="27" t="s">
        <v>21</v>
      </c>
      <c r="H4" s="27" t="s">
        <v>1219</v>
      </c>
      <c r="I4" s="112" t="s">
        <v>1220</v>
      </c>
      <c r="J4" s="27" t="s">
        <v>1221</v>
      </c>
      <c r="K4" s="27">
        <v>2021.0</v>
      </c>
      <c r="L4" s="27" t="s">
        <v>1222</v>
      </c>
    </row>
    <row r="5">
      <c r="A5" s="27" t="s">
        <v>1223</v>
      </c>
      <c r="B5" s="30" t="s">
        <v>1224</v>
      </c>
      <c r="C5" s="27" t="s">
        <v>1225</v>
      </c>
      <c r="D5" s="27">
        <v>5.0</v>
      </c>
      <c r="E5" s="27" t="s">
        <v>1226</v>
      </c>
      <c r="F5" s="27" t="s">
        <v>1223</v>
      </c>
      <c r="G5" s="27" t="s">
        <v>1227</v>
      </c>
      <c r="H5" s="27" t="s">
        <v>1228</v>
      </c>
      <c r="I5" s="27">
        <v>100000.0</v>
      </c>
      <c r="J5" s="27" t="s">
        <v>1229</v>
      </c>
      <c r="K5" s="27">
        <v>2021.0</v>
      </c>
      <c r="L5" s="27" t="s">
        <v>1230</v>
      </c>
    </row>
    <row r="6">
      <c r="A6" s="113" t="s">
        <v>60</v>
      </c>
      <c r="B6" s="114" t="s">
        <v>1231</v>
      </c>
      <c r="C6" s="113" t="s">
        <v>1232</v>
      </c>
      <c r="D6" s="113">
        <v>2.0</v>
      </c>
      <c r="E6" s="113" t="s">
        <v>1233</v>
      </c>
      <c r="F6" s="113" t="s">
        <v>60</v>
      </c>
      <c r="G6" s="113" t="s">
        <v>975</v>
      </c>
      <c r="H6" s="113" t="s">
        <v>1234</v>
      </c>
      <c r="I6" s="113">
        <v>25000.0</v>
      </c>
      <c r="J6" s="113" t="s">
        <v>1235</v>
      </c>
      <c r="K6" s="113">
        <v>2022.0</v>
      </c>
      <c r="L6" s="113" t="s">
        <v>1236</v>
      </c>
      <c r="M6" s="115"/>
      <c r="N6" s="115"/>
      <c r="O6" s="115"/>
      <c r="P6" s="115"/>
      <c r="Q6" s="115"/>
      <c r="R6" s="115"/>
      <c r="S6" s="115"/>
      <c r="T6" s="115"/>
      <c r="U6" s="115"/>
      <c r="V6" s="115"/>
      <c r="W6" s="115"/>
      <c r="X6" s="115"/>
      <c r="Y6" s="115"/>
      <c r="Z6" s="115"/>
    </row>
    <row r="7">
      <c r="A7" s="27" t="s">
        <v>60</v>
      </c>
      <c r="B7" s="27" t="s">
        <v>1237</v>
      </c>
      <c r="C7" s="27" t="s">
        <v>1232</v>
      </c>
      <c r="D7" s="27">
        <v>2.0</v>
      </c>
      <c r="E7" s="27" t="s">
        <v>1233</v>
      </c>
      <c r="F7" s="27" t="s">
        <v>60</v>
      </c>
      <c r="G7" s="27" t="s">
        <v>975</v>
      </c>
      <c r="H7" s="27" t="s">
        <v>1238</v>
      </c>
      <c r="I7" s="27">
        <v>22000.0</v>
      </c>
      <c r="J7" s="27" t="s">
        <v>1239</v>
      </c>
      <c r="K7" s="27">
        <v>2022.0</v>
      </c>
      <c r="L7" s="27" t="s">
        <v>1240</v>
      </c>
    </row>
    <row r="8">
      <c r="A8" s="27" t="s">
        <v>60</v>
      </c>
      <c r="B8" s="27" t="s">
        <v>1241</v>
      </c>
      <c r="C8" s="27" t="s">
        <v>1232</v>
      </c>
      <c r="D8" s="27">
        <v>3.0</v>
      </c>
      <c r="E8" s="116" t="s">
        <v>1242</v>
      </c>
      <c r="F8" s="27" t="s">
        <v>60</v>
      </c>
      <c r="G8" s="27" t="s">
        <v>975</v>
      </c>
      <c r="H8" s="27" t="s">
        <v>1238</v>
      </c>
      <c r="I8" s="27">
        <v>80000.0</v>
      </c>
      <c r="J8" s="27" t="s">
        <v>1243</v>
      </c>
      <c r="K8" s="27">
        <v>2021.0</v>
      </c>
      <c r="L8" s="27" t="s">
        <v>1244</v>
      </c>
    </row>
    <row r="9">
      <c r="A9" s="113" t="s">
        <v>107</v>
      </c>
      <c r="B9" s="113" t="s">
        <v>1245</v>
      </c>
      <c r="C9" s="113" t="s">
        <v>1246</v>
      </c>
      <c r="D9" s="113">
        <v>5.0</v>
      </c>
      <c r="E9" s="113" t="s">
        <v>1247</v>
      </c>
      <c r="F9" s="113" t="s">
        <v>1248</v>
      </c>
      <c r="G9" s="113" t="s">
        <v>1227</v>
      </c>
      <c r="H9" s="117" t="s">
        <v>1249</v>
      </c>
      <c r="I9" s="113">
        <v>400000.0</v>
      </c>
      <c r="J9" s="113" t="s">
        <v>1250</v>
      </c>
      <c r="K9" s="113">
        <v>2022.0</v>
      </c>
      <c r="L9" s="113" t="s">
        <v>1251</v>
      </c>
      <c r="M9" s="115"/>
      <c r="N9" s="115"/>
      <c r="O9" s="115"/>
      <c r="P9" s="115"/>
      <c r="Q9" s="115"/>
      <c r="R9" s="115"/>
      <c r="S9" s="115"/>
      <c r="T9" s="115"/>
      <c r="U9" s="115"/>
      <c r="V9" s="115"/>
      <c r="W9" s="115"/>
      <c r="X9" s="115"/>
      <c r="Y9" s="115"/>
      <c r="Z9" s="115"/>
    </row>
    <row r="10">
      <c r="A10" s="27" t="s">
        <v>107</v>
      </c>
      <c r="B10" s="27" t="s">
        <v>1252</v>
      </c>
      <c r="C10" s="27" t="s">
        <v>1253</v>
      </c>
      <c r="D10" s="27">
        <v>3.0</v>
      </c>
      <c r="E10" s="27" t="s">
        <v>1254</v>
      </c>
      <c r="F10" s="116" t="s">
        <v>107</v>
      </c>
      <c r="G10" s="27" t="s">
        <v>975</v>
      </c>
      <c r="H10" s="116" t="s">
        <v>1255</v>
      </c>
      <c r="I10" s="27" t="s">
        <v>1256</v>
      </c>
      <c r="J10" s="116"/>
      <c r="K10" s="116">
        <v>2022.0</v>
      </c>
      <c r="L10" s="27" t="s">
        <v>1240</v>
      </c>
    </row>
    <row r="11">
      <c r="A11" s="113" t="s">
        <v>1257</v>
      </c>
      <c r="B11" s="118" t="s">
        <v>1258</v>
      </c>
      <c r="C11" s="113" t="s">
        <v>1253</v>
      </c>
      <c r="D11" s="113">
        <v>29.0</v>
      </c>
      <c r="E11" s="113" t="s">
        <v>1254</v>
      </c>
      <c r="F11" s="117"/>
      <c r="G11" s="113" t="s">
        <v>975</v>
      </c>
      <c r="H11" s="117" t="s">
        <v>107</v>
      </c>
      <c r="I11" s="119">
        <v>392141.0</v>
      </c>
      <c r="J11" s="117" t="s">
        <v>1259</v>
      </c>
      <c r="K11" s="117">
        <v>2022.0</v>
      </c>
      <c r="L11" s="113" t="s">
        <v>1240</v>
      </c>
      <c r="M11" s="115"/>
      <c r="N11" s="115"/>
      <c r="O11" s="115"/>
      <c r="P11" s="115"/>
      <c r="Q11" s="115"/>
      <c r="R11" s="115"/>
      <c r="S11" s="115"/>
      <c r="T11" s="115"/>
      <c r="U11" s="115"/>
      <c r="V11" s="115"/>
      <c r="W11" s="115"/>
      <c r="X11" s="115"/>
      <c r="Y11" s="115"/>
      <c r="Z11" s="115"/>
    </row>
    <row r="12">
      <c r="A12" s="27" t="s">
        <v>1260</v>
      </c>
      <c r="B12" s="116" t="s">
        <v>1261</v>
      </c>
      <c r="C12" s="27" t="s">
        <v>1262</v>
      </c>
      <c r="D12" s="27">
        <v>4.0</v>
      </c>
      <c r="E12" s="27" t="s">
        <v>1263</v>
      </c>
      <c r="F12" s="116" t="s">
        <v>1264</v>
      </c>
      <c r="G12" s="27" t="s">
        <v>1227</v>
      </c>
      <c r="H12" s="116" t="s">
        <v>1265</v>
      </c>
      <c r="I12" s="120">
        <v>1500000.0</v>
      </c>
      <c r="J12" s="116" t="s">
        <v>1266</v>
      </c>
      <c r="K12" s="121">
        <v>2018.0</v>
      </c>
      <c r="L12" s="27" t="s">
        <v>1222</v>
      </c>
    </row>
    <row r="13">
      <c r="A13" s="27" t="s">
        <v>169</v>
      </c>
      <c r="B13" s="27" t="s">
        <v>1267</v>
      </c>
      <c r="C13" s="27" t="s">
        <v>1268</v>
      </c>
      <c r="D13" s="27">
        <v>2.0</v>
      </c>
      <c r="E13" s="27" t="s">
        <v>1269</v>
      </c>
      <c r="F13" s="27" t="s">
        <v>169</v>
      </c>
      <c r="G13" s="27" t="s">
        <v>975</v>
      </c>
      <c r="H13" s="27" t="s">
        <v>1255</v>
      </c>
      <c r="I13" s="27">
        <v>93750.0</v>
      </c>
      <c r="J13" s="27" t="s">
        <v>1270</v>
      </c>
      <c r="K13" s="27">
        <v>2021.0</v>
      </c>
      <c r="L13" s="27" t="s">
        <v>1251</v>
      </c>
    </row>
    <row r="14">
      <c r="A14" s="27" t="s">
        <v>169</v>
      </c>
      <c r="B14" s="27" t="s">
        <v>1271</v>
      </c>
      <c r="C14" s="27" t="s">
        <v>1272</v>
      </c>
      <c r="D14" s="27">
        <v>1.0</v>
      </c>
      <c r="E14" s="27" t="s">
        <v>1273</v>
      </c>
      <c r="F14" s="27" t="s">
        <v>169</v>
      </c>
      <c r="G14" s="27" t="s">
        <v>975</v>
      </c>
      <c r="H14" s="57" t="s">
        <v>1274</v>
      </c>
      <c r="I14" s="122" t="s">
        <v>1275</v>
      </c>
      <c r="J14" s="27"/>
      <c r="K14" s="27">
        <v>2022.0</v>
      </c>
      <c r="L14" s="27" t="s">
        <v>1240</v>
      </c>
    </row>
    <row r="15">
      <c r="A15" s="27" t="s">
        <v>169</v>
      </c>
      <c r="B15" s="27" t="s">
        <v>1276</v>
      </c>
      <c r="C15" s="27" t="s">
        <v>1277</v>
      </c>
      <c r="D15" s="27">
        <v>2.0</v>
      </c>
      <c r="E15" s="27" t="s">
        <v>1277</v>
      </c>
      <c r="F15" s="27" t="s">
        <v>169</v>
      </c>
      <c r="G15" s="27" t="s">
        <v>996</v>
      </c>
      <c r="H15" s="57" t="s">
        <v>1278</v>
      </c>
      <c r="I15" s="123" t="s">
        <v>1279</v>
      </c>
      <c r="J15" s="27"/>
      <c r="K15" s="27">
        <v>2022.0</v>
      </c>
      <c r="L15" s="27" t="s">
        <v>1240</v>
      </c>
    </row>
    <row r="16">
      <c r="A16" s="27" t="s">
        <v>169</v>
      </c>
      <c r="B16" s="27" t="s">
        <v>1280</v>
      </c>
      <c r="C16" s="27" t="s">
        <v>1268</v>
      </c>
      <c r="D16" s="27">
        <v>5.0</v>
      </c>
      <c r="E16" s="27" t="s">
        <v>1247</v>
      </c>
      <c r="F16" s="27" t="s">
        <v>1248</v>
      </c>
      <c r="G16" s="27" t="s">
        <v>1227</v>
      </c>
      <c r="H16" s="116" t="s">
        <v>1249</v>
      </c>
      <c r="I16" s="27">
        <v>400000.0</v>
      </c>
      <c r="J16" s="27" t="s">
        <v>1250</v>
      </c>
      <c r="K16" s="27">
        <v>2022.0</v>
      </c>
      <c r="L16" s="27" t="s">
        <v>1251</v>
      </c>
    </row>
    <row r="17">
      <c r="A17" s="27" t="s">
        <v>69</v>
      </c>
      <c r="B17" s="27" t="s">
        <v>1281</v>
      </c>
      <c r="C17" s="27" t="s">
        <v>1282</v>
      </c>
      <c r="D17" s="27">
        <v>3.0</v>
      </c>
      <c r="E17" s="27" t="s">
        <v>1283</v>
      </c>
      <c r="F17" s="27" t="s">
        <v>69</v>
      </c>
      <c r="G17" s="27" t="s">
        <v>996</v>
      </c>
      <c r="H17" s="27" t="s">
        <v>1255</v>
      </c>
      <c r="I17" s="27">
        <v>290000.0</v>
      </c>
      <c r="J17" s="27" t="s">
        <v>1284</v>
      </c>
      <c r="K17" s="27">
        <v>2022.0</v>
      </c>
      <c r="L17" s="27" t="s">
        <v>1222</v>
      </c>
    </row>
    <row r="18">
      <c r="A18" s="27" t="s">
        <v>69</v>
      </c>
      <c r="B18" s="27" t="s">
        <v>1285</v>
      </c>
      <c r="C18" s="27" t="s">
        <v>1286</v>
      </c>
      <c r="D18" s="27">
        <v>3.0</v>
      </c>
      <c r="E18" s="27" t="s">
        <v>1287</v>
      </c>
      <c r="F18" s="27" t="s">
        <v>169</v>
      </c>
      <c r="G18" s="27" t="s">
        <v>975</v>
      </c>
      <c r="H18" s="27" t="s">
        <v>1255</v>
      </c>
      <c r="I18" s="27">
        <v>10000.0</v>
      </c>
      <c r="J18" s="27" t="s">
        <v>1288</v>
      </c>
      <c r="K18" s="27">
        <v>2021.0</v>
      </c>
      <c r="L18" s="2" t="s">
        <v>1222</v>
      </c>
    </row>
    <row r="19">
      <c r="A19" s="113" t="s">
        <v>69</v>
      </c>
      <c r="B19" s="113" t="s">
        <v>1289</v>
      </c>
      <c r="C19" s="113" t="s">
        <v>1286</v>
      </c>
      <c r="D19" s="113">
        <v>10.0</v>
      </c>
      <c r="E19" s="113" t="s">
        <v>1283</v>
      </c>
      <c r="F19" s="113" t="s">
        <v>69</v>
      </c>
      <c r="G19" s="113" t="s">
        <v>975</v>
      </c>
      <c r="H19" s="113" t="s">
        <v>1255</v>
      </c>
      <c r="I19" s="113">
        <v>200000.0</v>
      </c>
      <c r="J19" s="113" t="s">
        <v>1290</v>
      </c>
      <c r="K19" s="113">
        <v>2021.0</v>
      </c>
      <c r="L19" s="118" t="s">
        <v>1222</v>
      </c>
      <c r="M19" s="115"/>
      <c r="N19" s="115"/>
      <c r="O19" s="115"/>
      <c r="P19" s="115"/>
      <c r="Q19" s="115"/>
      <c r="R19" s="115"/>
      <c r="S19" s="115"/>
      <c r="T19" s="115"/>
      <c r="U19" s="115"/>
      <c r="V19" s="115"/>
      <c r="W19" s="115"/>
      <c r="X19" s="115"/>
      <c r="Y19" s="115"/>
      <c r="Z19" s="115"/>
    </row>
    <row r="20">
      <c r="A20" s="27" t="s">
        <v>69</v>
      </c>
      <c r="B20" s="27" t="s">
        <v>1291</v>
      </c>
      <c r="C20" s="27" t="s">
        <v>1286</v>
      </c>
      <c r="D20" s="27">
        <v>2.0</v>
      </c>
      <c r="E20" s="27" t="s">
        <v>1292</v>
      </c>
      <c r="F20" s="27" t="s">
        <v>69</v>
      </c>
      <c r="G20" s="27" t="s">
        <v>975</v>
      </c>
      <c r="H20" s="27" t="s">
        <v>1255</v>
      </c>
      <c r="I20" s="27">
        <v>150000.0</v>
      </c>
      <c r="J20" s="27" t="s">
        <v>1290</v>
      </c>
      <c r="K20" s="27">
        <v>2021.0</v>
      </c>
      <c r="L20" s="27" t="s">
        <v>1251</v>
      </c>
    </row>
    <row r="21">
      <c r="A21" s="113" t="s">
        <v>69</v>
      </c>
      <c r="B21" s="124" t="s">
        <v>1293</v>
      </c>
      <c r="C21" s="113" t="s">
        <v>1294</v>
      </c>
      <c r="D21" s="113">
        <v>5.0</v>
      </c>
      <c r="E21" s="113" t="s">
        <v>1295</v>
      </c>
      <c r="F21" s="125"/>
      <c r="G21" s="113" t="s">
        <v>975</v>
      </c>
      <c r="H21" s="113" t="s">
        <v>1296</v>
      </c>
      <c r="I21" s="113">
        <v>350000.0</v>
      </c>
      <c r="J21" s="113" t="s">
        <v>1297</v>
      </c>
      <c r="K21" s="113">
        <v>2022.0</v>
      </c>
      <c r="L21" s="113" t="s">
        <v>1251</v>
      </c>
      <c r="M21" s="115"/>
      <c r="N21" s="115"/>
      <c r="O21" s="115"/>
      <c r="P21" s="115"/>
      <c r="Q21" s="115"/>
      <c r="R21" s="115"/>
      <c r="S21" s="115"/>
      <c r="T21" s="115"/>
      <c r="U21" s="115"/>
      <c r="V21" s="115"/>
      <c r="W21" s="115"/>
      <c r="X21" s="115"/>
      <c r="Y21" s="115"/>
      <c r="Z21" s="115"/>
    </row>
    <row r="22">
      <c r="A22" s="118" t="s">
        <v>99</v>
      </c>
      <c r="B22" s="118" t="s">
        <v>1298</v>
      </c>
      <c r="C22" s="118" t="s">
        <v>1299</v>
      </c>
      <c r="D22" s="118">
        <v>5.0</v>
      </c>
      <c r="E22" s="118" t="s">
        <v>1300</v>
      </c>
      <c r="F22" s="118" t="s">
        <v>1301</v>
      </c>
      <c r="G22" s="118" t="s">
        <v>22</v>
      </c>
      <c r="H22" s="118" t="s">
        <v>1228</v>
      </c>
      <c r="I22" s="118">
        <v>3000000.0</v>
      </c>
      <c r="J22" s="118" t="s">
        <v>1302</v>
      </c>
      <c r="K22" s="118">
        <v>2020.0</v>
      </c>
      <c r="L22" s="118" t="s">
        <v>1251</v>
      </c>
      <c r="M22" s="115"/>
      <c r="N22" s="115"/>
      <c r="O22" s="115"/>
      <c r="P22" s="115"/>
      <c r="Q22" s="115"/>
      <c r="R22" s="115"/>
      <c r="S22" s="115"/>
      <c r="T22" s="115"/>
      <c r="U22" s="115"/>
      <c r="V22" s="115"/>
      <c r="W22" s="115"/>
      <c r="X22" s="115"/>
      <c r="Y22" s="115"/>
      <c r="Z22" s="115"/>
    </row>
    <row r="23">
      <c r="A23" s="118" t="s">
        <v>99</v>
      </c>
      <c r="B23" s="118" t="s">
        <v>1303</v>
      </c>
      <c r="C23" s="118" t="s">
        <v>1299</v>
      </c>
      <c r="D23" s="118">
        <v>5.0</v>
      </c>
      <c r="E23" s="118" t="s">
        <v>1300</v>
      </c>
      <c r="F23" s="118" t="s">
        <v>1301</v>
      </c>
      <c r="G23" s="118" t="s">
        <v>22</v>
      </c>
      <c r="H23" s="118" t="s">
        <v>1304</v>
      </c>
      <c r="I23" s="118">
        <v>3000000.0</v>
      </c>
      <c r="J23" s="118" t="s">
        <v>1305</v>
      </c>
      <c r="K23" s="118">
        <v>2021.0</v>
      </c>
      <c r="L23" s="118" t="s">
        <v>1251</v>
      </c>
      <c r="M23" s="115"/>
      <c r="N23" s="115"/>
      <c r="O23" s="115"/>
      <c r="P23" s="115"/>
      <c r="Q23" s="115"/>
      <c r="R23" s="115"/>
      <c r="S23" s="115"/>
      <c r="T23" s="115"/>
      <c r="U23" s="115"/>
      <c r="V23" s="115"/>
      <c r="W23" s="115"/>
      <c r="X23" s="115"/>
      <c r="Y23" s="115"/>
      <c r="Z23" s="115"/>
    </row>
    <row r="24">
      <c r="A24" s="2" t="s">
        <v>1306</v>
      </c>
      <c r="B24" s="2" t="s">
        <v>1307</v>
      </c>
      <c r="C24" s="2" t="s">
        <v>1308</v>
      </c>
      <c r="D24" s="2">
        <v>5.0</v>
      </c>
      <c r="E24" s="2" t="s">
        <v>1309</v>
      </c>
      <c r="F24" s="2" t="s">
        <v>1310</v>
      </c>
      <c r="G24" s="2" t="s">
        <v>975</v>
      </c>
      <c r="H24" s="2" t="s">
        <v>1296</v>
      </c>
      <c r="J24" s="2" t="s">
        <v>1311</v>
      </c>
      <c r="K24" s="2">
        <v>2021.0</v>
      </c>
      <c r="L24" s="2" t="s">
        <v>1251</v>
      </c>
    </row>
    <row r="25">
      <c r="A25" s="118" t="s">
        <v>1306</v>
      </c>
      <c r="B25" s="118" t="s">
        <v>1312</v>
      </c>
      <c r="C25" s="118" t="s">
        <v>1313</v>
      </c>
      <c r="D25" s="118">
        <v>5.0</v>
      </c>
      <c r="E25" s="118" t="s">
        <v>1314</v>
      </c>
      <c r="F25" s="118" t="s">
        <v>1310</v>
      </c>
      <c r="G25" s="118" t="s">
        <v>975</v>
      </c>
      <c r="H25" s="118" t="s">
        <v>1296</v>
      </c>
      <c r="I25" s="118">
        <v>500000.0</v>
      </c>
      <c r="J25" s="118" t="s">
        <v>1311</v>
      </c>
      <c r="K25" s="118">
        <v>2021.0</v>
      </c>
      <c r="L25" s="118" t="s">
        <v>1222</v>
      </c>
      <c r="M25" s="115"/>
      <c r="N25" s="115"/>
      <c r="O25" s="115"/>
      <c r="P25" s="115"/>
      <c r="Q25" s="115"/>
      <c r="R25" s="115"/>
      <c r="S25" s="115"/>
      <c r="T25" s="115"/>
      <c r="U25" s="115"/>
      <c r="V25" s="115"/>
      <c r="W25" s="115"/>
      <c r="X25" s="115"/>
      <c r="Y25" s="115"/>
      <c r="Z25" s="115"/>
    </row>
    <row r="26">
      <c r="A26" s="2" t="s">
        <v>1306</v>
      </c>
      <c r="B26" s="2" t="s">
        <v>1315</v>
      </c>
      <c r="C26" s="2" t="s">
        <v>1316</v>
      </c>
      <c r="D26" s="2">
        <v>2.0</v>
      </c>
      <c r="E26" s="2" t="s">
        <v>1317</v>
      </c>
      <c r="F26" s="2" t="s">
        <v>1306</v>
      </c>
      <c r="G26" s="2" t="s">
        <v>996</v>
      </c>
      <c r="H26" s="2" t="s">
        <v>1255</v>
      </c>
      <c r="J26" s="2" t="s">
        <v>1318</v>
      </c>
      <c r="K26" s="2">
        <v>2022.0</v>
      </c>
      <c r="L26" s="2" t="s">
        <v>1222</v>
      </c>
    </row>
    <row r="27">
      <c r="A27" s="2" t="s">
        <v>1306</v>
      </c>
      <c r="B27" s="2" t="s">
        <v>1319</v>
      </c>
      <c r="C27" s="2" t="s">
        <v>1316</v>
      </c>
      <c r="D27" s="2">
        <v>2.0</v>
      </c>
      <c r="E27" s="2" t="s">
        <v>1317</v>
      </c>
      <c r="F27" s="2" t="s">
        <v>1306</v>
      </c>
      <c r="G27" s="2" t="s">
        <v>996</v>
      </c>
      <c r="H27" s="2" t="s">
        <v>1255</v>
      </c>
      <c r="J27" s="2" t="s">
        <v>1320</v>
      </c>
      <c r="K27" s="2">
        <v>2022.0</v>
      </c>
      <c r="L27" s="2" t="s">
        <v>1240</v>
      </c>
    </row>
    <row r="28">
      <c r="A28" s="118" t="s">
        <v>205</v>
      </c>
      <c r="B28" s="118" t="s">
        <v>1321</v>
      </c>
      <c r="C28" s="118" t="s">
        <v>1322</v>
      </c>
      <c r="D28" s="118">
        <v>5.0</v>
      </c>
      <c r="E28" s="118" t="s">
        <v>1323</v>
      </c>
      <c r="F28" s="118" t="s">
        <v>1324</v>
      </c>
      <c r="G28" s="118" t="s">
        <v>975</v>
      </c>
      <c r="H28" s="118" t="s">
        <v>1296</v>
      </c>
      <c r="I28" s="118">
        <v>60000.0</v>
      </c>
      <c r="J28" s="118" t="s">
        <v>1325</v>
      </c>
      <c r="K28" s="118">
        <v>2022.0</v>
      </c>
      <c r="L28" s="118" t="s">
        <v>1240</v>
      </c>
      <c r="M28" s="115"/>
      <c r="N28" s="115"/>
      <c r="O28" s="115"/>
      <c r="P28" s="115"/>
      <c r="Q28" s="115"/>
      <c r="R28" s="115"/>
      <c r="S28" s="115"/>
      <c r="T28" s="115"/>
      <c r="U28" s="115"/>
      <c r="V28" s="115"/>
      <c r="W28" s="115"/>
      <c r="X28" s="115"/>
      <c r="Y28" s="115"/>
      <c r="Z28" s="115"/>
    </row>
    <row r="29">
      <c r="A29" s="2" t="s">
        <v>205</v>
      </c>
      <c r="B29" s="2" t="s">
        <v>1326</v>
      </c>
      <c r="C29" s="2" t="s">
        <v>1327</v>
      </c>
      <c r="E29" s="2" t="s">
        <v>1328</v>
      </c>
      <c r="G29" s="2" t="s">
        <v>975</v>
      </c>
      <c r="H29" s="2" t="s">
        <v>1296</v>
      </c>
      <c r="J29" s="126" t="s">
        <v>1329</v>
      </c>
      <c r="L29" s="2" t="s">
        <v>1251</v>
      </c>
    </row>
    <row r="30">
      <c r="A30" s="2" t="s">
        <v>205</v>
      </c>
      <c r="B30" s="2" t="s">
        <v>1330</v>
      </c>
      <c r="C30" s="2" t="s">
        <v>1331</v>
      </c>
      <c r="D30" s="2">
        <v>2.0</v>
      </c>
      <c r="E30" s="2" t="s">
        <v>1332</v>
      </c>
      <c r="F30" s="2" t="s">
        <v>205</v>
      </c>
      <c r="G30" s="2" t="s">
        <v>975</v>
      </c>
      <c r="H30" s="2" t="s">
        <v>1255</v>
      </c>
      <c r="J30" s="2" t="s">
        <v>1333</v>
      </c>
      <c r="L30" s="2" t="s">
        <v>1251</v>
      </c>
    </row>
    <row r="31">
      <c r="A31" s="118" t="s">
        <v>1334</v>
      </c>
      <c r="B31" s="118" t="s">
        <v>1335</v>
      </c>
      <c r="C31" s="118" t="s">
        <v>1336</v>
      </c>
      <c r="D31" s="118">
        <v>25.0</v>
      </c>
      <c r="E31" s="118" t="s">
        <v>1337</v>
      </c>
      <c r="F31" s="118" t="s">
        <v>1338</v>
      </c>
      <c r="G31" s="118" t="s">
        <v>996</v>
      </c>
      <c r="H31" s="118" t="s">
        <v>1304</v>
      </c>
      <c r="I31" s="118">
        <v>1500000.0</v>
      </c>
      <c r="J31" s="118" t="s">
        <v>1339</v>
      </c>
      <c r="K31" s="118">
        <v>2022.0</v>
      </c>
      <c r="L31" s="118" t="s">
        <v>1240</v>
      </c>
      <c r="M31" s="115"/>
      <c r="N31" s="115"/>
      <c r="O31" s="115"/>
      <c r="P31" s="115"/>
      <c r="Q31" s="115"/>
      <c r="R31" s="115"/>
      <c r="S31" s="115"/>
      <c r="T31" s="115"/>
      <c r="U31" s="115"/>
      <c r="V31" s="115"/>
      <c r="W31" s="115"/>
      <c r="X31" s="115"/>
      <c r="Y31" s="115"/>
      <c r="Z31" s="115"/>
    </row>
    <row r="32">
      <c r="A32" s="2" t="s">
        <v>205</v>
      </c>
      <c r="B32" s="2" t="s">
        <v>1340</v>
      </c>
      <c r="C32" s="2" t="s">
        <v>1322</v>
      </c>
      <c r="D32" s="2">
        <v>3.0</v>
      </c>
      <c r="E32" s="2" t="s">
        <v>1341</v>
      </c>
      <c r="F32" s="2" t="s">
        <v>205</v>
      </c>
      <c r="G32" s="2" t="s">
        <v>996</v>
      </c>
      <c r="H32" s="2" t="s">
        <v>1255</v>
      </c>
      <c r="I32" s="2">
        <v>15000.0</v>
      </c>
      <c r="J32" s="2" t="s">
        <v>1342</v>
      </c>
      <c r="K32" s="2">
        <v>2022.0</v>
      </c>
      <c r="L32" s="2" t="s">
        <v>1222</v>
      </c>
    </row>
    <row r="33">
      <c r="A33" s="118" t="s">
        <v>205</v>
      </c>
      <c r="B33" s="118" t="s">
        <v>1343</v>
      </c>
      <c r="C33" s="118" t="s">
        <v>1322</v>
      </c>
      <c r="D33" s="118">
        <v>4.0</v>
      </c>
      <c r="E33" s="118" t="s">
        <v>1341</v>
      </c>
      <c r="F33" s="118" t="s">
        <v>205</v>
      </c>
      <c r="G33" s="118" t="s">
        <v>996</v>
      </c>
      <c r="H33" s="118" t="s">
        <v>1255</v>
      </c>
      <c r="I33" s="118">
        <v>400000.0</v>
      </c>
      <c r="J33" s="118" t="s">
        <v>1342</v>
      </c>
      <c r="K33" s="118">
        <v>2021.0</v>
      </c>
      <c r="L33" s="118" t="s">
        <v>1222</v>
      </c>
      <c r="M33" s="115"/>
      <c r="N33" s="115"/>
      <c r="O33" s="115"/>
      <c r="P33" s="115"/>
      <c r="Q33" s="115"/>
      <c r="R33" s="115"/>
      <c r="S33" s="115"/>
      <c r="T33" s="115"/>
      <c r="U33" s="115"/>
      <c r="V33" s="115"/>
      <c r="W33" s="115"/>
      <c r="X33" s="115"/>
      <c r="Y33" s="115"/>
      <c r="Z33" s="115"/>
    </row>
    <row r="34">
      <c r="A34" s="2" t="s">
        <v>205</v>
      </c>
      <c r="B34" s="2" t="s">
        <v>1344</v>
      </c>
      <c r="C34" s="2" t="s">
        <v>1322</v>
      </c>
      <c r="D34" s="2">
        <v>4.0</v>
      </c>
      <c r="E34" s="2" t="s">
        <v>1341</v>
      </c>
      <c r="F34" s="2" t="s">
        <v>205</v>
      </c>
      <c r="G34" s="2" t="s">
        <v>996</v>
      </c>
      <c r="H34" s="2" t="s">
        <v>1255</v>
      </c>
      <c r="I34" s="2">
        <v>150000.0</v>
      </c>
      <c r="J34" s="2" t="s">
        <v>1342</v>
      </c>
      <c r="K34" s="2">
        <v>2021.0</v>
      </c>
      <c r="L34" s="2" t="s">
        <v>1222</v>
      </c>
    </row>
    <row r="35">
      <c r="A35" s="118" t="s">
        <v>205</v>
      </c>
      <c r="B35" s="118" t="s">
        <v>1345</v>
      </c>
      <c r="C35" s="118" t="s">
        <v>1322</v>
      </c>
      <c r="D35" s="118">
        <v>4.0</v>
      </c>
      <c r="E35" s="118" t="s">
        <v>1341</v>
      </c>
      <c r="F35" s="118" t="s">
        <v>205</v>
      </c>
      <c r="G35" s="118" t="s">
        <v>996</v>
      </c>
      <c r="H35" s="118" t="s">
        <v>1255</v>
      </c>
      <c r="I35" s="118">
        <v>200000.0</v>
      </c>
      <c r="J35" s="118" t="s">
        <v>1342</v>
      </c>
      <c r="K35" s="118">
        <v>2020.0</v>
      </c>
      <c r="L35" s="118" t="s">
        <v>1222</v>
      </c>
      <c r="M35" s="115"/>
      <c r="N35" s="115"/>
      <c r="O35" s="115"/>
      <c r="P35" s="115"/>
      <c r="Q35" s="115"/>
      <c r="R35" s="115"/>
      <c r="S35" s="115"/>
      <c r="T35" s="115"/>
      <c r="U35" s="115"/>
      <c r="V35" s="115"/>
      <c r="W35" s="115"/>
      <c r="X35" s="115"/>
      <c r="Y35" s="115"/>
      <c r="Z35" s="115"/>
    </row>
    <row r="36">
      <c r="A36" s="2" t="s">
        <v>205</v>
      </c>
      <c r="B36" s="2" t="s">
        <v>1346</v>
      </c>
      <c r="C36" s="2" t="s">
        <v>1322</v>
      </c>
      <c r="D36" s="2">
        <v>2.0</v>
      </c>
      <c r="E36" s="2" t="s">
        <v>1341</v>
      </c>
      <c r="F36" s="2" t="s">
        <v>205</v>
      </c>
      <c r="G36" s="2" t="s">
        <v>996</v>
      </c>
      <c r="H36" s="2" t="s">
        <v>1255</v>
      </c>
      <c r="I36" s="2">
        <v>15000.0</v>
      </c>
      <c r="J36" s="2" t="s">
        <v>1342</v>
      </c>
      <c r="K36" s="2">
        <v>2021.0</v>
      </c>
      <c r="L36" s="2" t="s">
        <v>1222</v>
      </c>
    </row>
    <row r="37">
      <c r="A37" s="2" t="s">
        <v>205</v>
      </c>
      <c r="B37" s="2" t="s">
        <v>1347</v>
      </c>
      <c r="C37" s="2" t="s">
        <v>1322</v>
      </c>
      <c r="D37" s="2">
        <v>2.0</v>
      </c>
      <c r="E37" s="2" t="s">
        <v>1341</v>
      </c>
      <c r="F37" s="2" t="s">
        <v>205</v>
      </c>
      <c r="G37" s="2" t="s">
        <v>996</v>
      </c>
      <c r="H37" s="2" t="s">
        <v>1255</v>
      </c>
      <c r="I37" s="2">
        <v>80000.0</v>
      </c>
      <c r="J37" s="2" t="s">
        <v>1342</v>
      </c>
      <c r="K37" s="2">
        <v>2021.0</v>
      </c>
      <c r="L37" s="2" t="s">
        <v>1222</v>
      </c>
    </row>
    <row r="38">
      <c r="A38" s="118" t="s">
        <v>205</v>
      </c>
      <c r="B38" s="118" t="s">
        <v>1348</v>
      </c>
      <c r="C38" s="118" t="s">
        <v>1322</v>
      </c>
      <c r="D38" s="118">
        <v>2.0</v>
      </c>
      <c r="E38" s="118" t="s">
        <v>1323</v>
      </c>
      <c r="F38" s="118" t="s">
        <v>1324</v>
      </c>
      <c r="G38" s="118" t="s">
        <v>996</v>
      </c>
      <c r="H38" s="118" t="s">
        <v>1296</v>
      </c>
      <c r="I38" s="118">
        <v>6300.0</v>
      </c>
      <c r="J38" s="118" t="s">
        <v>1349</v>
      </c>
      <c r="K38" s="118">
        <v>2021.0</v>
      </c>
      <c r="L38" s="118" t="s">
        <v>1222</v>
      </c>
      <c r="M38" s="115"/>
      <c r="N38" s="115"/>
      <c r="O38" s="115"/>
      <c r="P38" s="115"/>
      <c r="Q38" s="115"/>
      <c r="R38" s="115"/>
      <c r="S38" s="115"/>
      <c r="T38" s="115"/>
      <c r="U38" s="115"/>
      <c r="V38" s="115"/>
      <c r="W38" s="115"/>
      <c r="X38" s="115"/>
      <c r="Y38" s="115"/>
      <c r="Z38" s="115"/>
    </row>
    <row r="39">
      <c r="A39" s="2" t="s">
        <v>1334</v>
      </c>
      <c r="B39" s="2" t="s">
        <v>1350</v>
      </c>
      <c r="C39" s="2" t="s">
        <v>1336</v>
      </c>
      <c r="D39" s="2">
        <v>2.0</v>
      </c>
      <c r="E39" s="2" t="s">
        <v>1351</v>
      </c>
      <c r="F39" s="2" t="s">
        <v>1334</v>
      </c>
      <c r="G39" s="2" t="s">
        <v>996</v>
      </c>
      <c r="H39" s="2" t="s">
        <v>1255</v>
      </c>
      <c r="I39" s="2">
        <v>320000.0</v>
      </c>
      <c r="J39" s="2" t="s">
        <v>1352</v>
      </c>
      <c r="K39" s="2">
        <v>2022.0</v>
      </c>
      <c r="L39" s="2" t="s">
        <v>1222</v>
      </c>
    </row>
    <row r="40">
      <c r="A40" s="118" t="s">
        <v>205</v>
      </c>
      <c r="B40" s="118" t="s">
        <v>1353</v>
      </c>
      <c r="C40" s="118" t="s">
        <v>1354</v>
      </c>
      <c r="D40" s="118">
        <v>5.0</v>
      </c>
      <c r="E40" s="118" t="s">
        <v>1341</v>
      </c>
      <c r="F40" s="118" t="s">
        <v>1310</v>
      </c>
      <c r="G40" s="118" t="s">
        <v>975</v>
      </c>
      <c r="H40" s="118" t="s">
        <v>1296</v>
      </c>
      <c r="I40" s="118">
        <v>500000.0</v>
      </c>
      <c r="J40" s="118" t="s">
        <v>1355</v>
      </c>
      <c r="K40" s="118">
        <v>2021.0</v>
      </c>
      <c r="L40" s="118" t="s">
        <v>1222</v>
      </c>
      <c r="M40" s="115"/>
      <c r="N40" s="115"/>
      <c r="O40" s="115"/>
      <c r="P40" s="115"/>
      <c r="Q40" s="115"/>
      <c r="R40" s="115"/>
      <c r="S40" s="115"/>
      <c r="T40" s="115"/>
      <c r="U40" s="115"/>
      <c r="V40" s="115"/>
      <c r="W40" s="115"/>
      <c r="X40" s="115"/>
      <c r="Y40" s="115"/>
      <c r="Z40" s="115"/>
    </row>
    <row r="41">
      <c r="A41" s="2" t="s">
        <v>205</v>
      </c>
      <c r="B41" s="2" t="s">
        <v>1356</v>
      </c>
      <c r="C41" s="2" t="s">
        <v>1322</v>
      </c>
      <c r="D41" s="2">
        <v>2.0</v>
      </c>
      <c r="E41" s="2" t="s">
        <v>1341</v>
      </c>
      <c r="F41" s="2" t="s">
        <v>205</v>
      </c>
      <c r="G41" s="2" t="s">
        <v>996</v>
      </c>
      <c r="H41" s="2" t="s">
        <v>1255</v>
      </c>
      <c r="I41" s="2">
        <v>240000.0</v>
      </c>
      <c r="J41" s="2" t="s">
        <v>1349</v>
      </c>
      <c r="K41" s="2">
        <v>2022.0</v>
      </c>
      <c r="L41" s="2" t="s">
        <v>1240</v>
      </c>
    </row>
    <row r="42">
      <c r="A42" s="118" t="s">
        <v>205</v>
      </c>
      <c r="B42" s="118" t="s">
        <v>1357</v>
      </c>
      <c r="C42" s="118" t="s">
        <v>1354</v>
      </c>
      <c r="D42" s="118">
        <v>5.0</v>
      </c>
      <c r="E42" s="118" t="s">
        <v>1358</v>
      </c>
      <c r="F42" s="118" t="s">
        <v>205</v>
      </c>
      <c r="G42" s="118" t="s">
        <v>975</v>
      </c>
      <c r="H42" s="118" t="s">
        <v>1255</v>
      </c>
      <c r="I42" s="118">
        <v>350000.0</v>
      </c>
      <c r="J42" s="118" t="s">
        <v>1342</v>
      </c>
      <c r="K42" s="118">
        <v>2020.0</v>
      </c>
      <c r="L42" s="118" t="s">
        <v>1222</v>
      </c>
      <c r="M42" s="115"/>
      <c r="N42" s="115"/>
      <c r="O42" s="115"/>
      <c r="P42" s="115"/>
      <c r="Q42" s="115"/>
      <c r="R42" s="115"/>
      <c r="S42" s="115"/>
      <c r="T42" s="115"/>
      <c r="U42" s="115"/>
      <c r="V42" s="115"/>
      <c r="W42" s="115"/>
      <c r="X42" s="115"/>
      <c r="Y42" s="115"/>
      <c r="Z42" s="115"/>
    </row>
    <row r="43">
      <c r="A43" s="2" t="s">
        <v>205</v>
      </c>
      <c r="B43" s="2" t="s">
        <v>1359</v>
      </c>
      <c r="C43" s="2" t="s">
        <v>1354</v>
      </c>
      <c r="D43" s="2">
        <v>5.0</v>
      </c>
      <c r="E43" s="2" t="s">
        <v>1360</v>
      </c>
      <c r="F43" s="2" t="s">
        <v>205</v>
      </c>
      <c r="G43" s="2" t="s">
        <v>975</v>
      </c>
      <c r="H43" s="2" t="s">
        <v>1255</v>
      </c>
      <c r="I43" s="2">
        <v>15000.0</v>
      </c>
      <c r="J43" s="2" t="s">
        <v>1342</v>
      </c>
      <c r="K43" s="2">
        <v>2021.0</v>
      </c>
      <c r="L43" s="2" t="s">
        <v>1222</v>
      </c>
    </row>
    <row r="44">
      <c r="A44" s="118" t="s">
        <v>205</v>
      </c>
      <c r="B44" s="118" t="s">
        <v>1361</v>
      </c>
      <c r="C44" s="118" t="s">
        <v>1354</v>
      </c>
      <c r="D44" s="118">
        <v>4.0</v>
      </c>
      <c r="E44" s="118" t="s">
        <v>1362</v>
      </c>
      <c r="F44" s="118" t="s">
        <v>205</v>
      </c>
      <c r="G44" s="118" t="s">
        <v>996</v>
      </c>
      <c r="H44" s="118" t="s">
        <v>1255</v>
      </c>
      <c r="I44" s="118">
        <v>500000.0</v>
      </c>
      <c r="J44" s="118" t="s">
        <v>1342</v>
      </c>
      <c r="K44" s="118">
        <v>2021.0</v>
      </c>
      <c r="L44" s="118" t="s">
        <v>1222</v>
      </c>
      <c r="M44" s="115"/>
      <c r="N44" s="115"/>
      <c r="O44" s="115"/>
      <c r="P44" s="115"/>
      <c r="Q44" s="115"/>
      <c r="R44" s="115"/>
      <c r="S44" s="115"/>
      <c r="T44" s="115"/>
      <c r="U44" s="115"/>
      <c r="V44" s="115"/>
      <c r="W44" s="115"/>
      <c r="X44" s="115"/>
      <c r="Y44" s="115"/>
      <c r="Z44" s="115"/>
    </row>
    <row r="45">
      <c r="A45" s="118" t="s">
        <v>205</v>
      </c>
      <c r="B45" s="118" t="s">
        <v>1363</v>
      </c>
      <c r="C45" s="127" t="s">
        <v>1322</v>
      </c>
      <c r="D45" s="118">
        <v>10.0</v>
      </c>
      <c r="E45" s="128" t="s">
        <v>1364</v>
      </c>
      <c r="F45" s="118" t="s">
        <v>1365</v>
      </c>
      <c r="G45" s="118" t="s">
        <v>996</v>
      </c>
      <c r="H45" s="118" t="s">
        <v>1255</v>
      </c>
      <c r="I45" s="129">
        <v>240658.0</v>
      </c>
      <c r="J45" s="118" t="s">
        <v>1366</v>
      </c>
      <c r="K45" s="118">
        <v>2022.0</v>
      </c>
      <c r="L45" s="118" t="s">
        <v>1222</v>
      </c>
      <c r="M45" s="115"/>
      <c r="N45" s="115"/>
      <c r="O45" s="115"/>
      <c r="P45" s="115"/>
      <c r="Q45" s="115"/>
      <c r="R45" s="115"/>
      <c r="S45" s="115"/>
      <c r="T45" s="115"/>
      <c r="U45" s="115"/>
      <c r="V45" s="115"/>
      <c r="W45" s="115"/>
      <c r="X45" s="115"/>
      <c r="Y45" s="115"/>
      <c r="Z45" s="115"/>
    </row>
    <row r="46">
      <c r="A46" s="118" t="s">
        <v>153</v>
      </c>
      <c r="B46" s="118" t="s">
        <v>1367</v>
      </c>
      <c r="C46" s="118" t="s">
        <v>1368</v>
      </c>
      <c r="D46" s="118">
        <v>8.0</v>
      </c>
      <c r="E46" s="130" t="s">
        <v>1369</v>
      </c>
      <c r="F46" s="118" t="s">
        <v>1370</v>
      </c>
      <c r="G46" s="118" t="s">
        <v>975</v>
      </c>
      <c r="H46" s="118" t="s">
        <v>1296</v>
      </c>
      <c r="I46" s="118">
        <v>10000.0</v>
      </c>
      <c r="J46" s="118" t="s">
        <v>1371</v>
      </c>
      <c r="K46" s="118">
        <v>2022.0</v>
      </c>
      <c r="L46" s="118" t="s">
        <v>1251</v>
      </c>
      <c r="M46" s="115"/>
      <c r="N46" s="115"/>
      <c r="O46" s="115"/>
      <c r="P46" s="115"/>
      <c r="Q46" s="115"/>
      <c r="R46" s="115"/>
      <c r="S46" s="115"/>
      <c r="T46" s="115"/>
      <c r="U46" s="115"/>
      <c r="V46" s="115"/>
      <c r="W46" s="115"/>
      <c r="X46" s="115"/>
      <c r="Y46" s="115"/>
      <c r="Z46" s="115"/>
    </row>
    <row r="47">
      <c r="A47" s="2" t="s">
        <v>202</v>
      </c>
      <c r="B47" s="131" t="s">
        <v>1372</v>
      </c>
      <c r="C47" s="2" t="s">
        <v>1373</v>
      </c>
      <c r="D47" s="2">
        <v>2.0</v>
      </c>
      <c r="E47" s="2" t="s">
        <v>1374</v>
      </c>
      <c r="F47" s="2" t="s">
        <v>202</v>
      </c>
      <c r="G47" s="2" t="s">
        <v>21</v>
      </c>
      <c r="H47" s="2" t="s">
        <v>1255</v>
      </c>
      <c r="I47" s="2" t="s">
        <v>1375</v>
      </c>
      <c r="J47" s="2" t="s">
        <v>1376</v>
      </c>
      <c r="K47" s="2">
        <v>2021.0</v>
      </c>
      <c r="L47" s="2" t="s">
        <v>1222</v>
      </c>
    </row>
    <row r="48">
      <c r="A48" s="2" t="s">
        <v>107</v>
      </c>
      <c r="B48" s="2" t="s">
        <v>1377</v>
      </c>
      <c r="C48" s="2" t="s">
        <v>1378</v>
      </c>
      <c r="D48" s="2">
        <v>1.0</v>
      </c>
      <c r="E48" s="2" t="s">
        <v>1379</v>
      </c>
      <c r="F48" s="2" t="s">
        <v>1379</v>
      </c>
      <c r="G48" s="2" t="s">
        <v>975</v>
      </c>
      <c r="H48" s="2" t="s">
        <v>1255</v>
      </c>
      <c r="I48" s="2">
        <v>35000.0</v>
      </c>
      <c r="J48" s="126" t="s">
        <v>1380</v>
      </c>
      <c r="K48" s="2">
        <v>2021.0</v>
      </c>
      <c r="L48" s="2" t="s">
        <v>1251</v>
      </c>
    </row>
    <row r="49">
      <c r="A49" s="2" t="s">
        <v>149</v>
      </c>
      <c r="B49" s="2" t="s">
        <v>1381</v>
      </c>
      <c r="C49" s="2" t="s">
        <v>1382</v>
      </c>
      <c r="D49" s="2">
        <v>2.0</v>
      </c>
      <c r="E49" s="2" t="s">
        <v>1383</v>
      </c>
      <c r="F49" s="2" t="s">
        <v>149</v>
      </c>
      <c r="G49" s="2" t="s">
        <v>1384</v>
      </c>
      <c r="H49" s="2" t="s">
        <v>1255</v>
      </c>
      <c r="I49" s="2">
        <v>500000.0</v>
      </c>
      <c r="J49" s="2" t="s">
        <v>1385</v>
      </c>
      <c r="K49" s="2">
        <v>2022.0</v>
      </c>
      <c r="L49" s="2" t="s">
        <v>1240</v>
      </c>
    </row>
    <row r="50">
      <c r="A50" s="2" t="s">
        <v>149</v>
      </c>
      <c r="B50" s="132" t="s">
        <v>1386</v>
      </c>
      <c r="C50" s="2" t="s">
        <v>1382</v>
      </c>
      <c r="E50" s="2" t="s">
        <v>1383</v>
      </c>
      <c r="F50" s="2" t="s">
        <v>149</v>
      </c>
      <c r="G50" s="2" t="s">
        <v>1384</v>
      </c>
      <c r="H50" s="2" t="s">
        <v>1255</v>
      </c>
      <c r="I50" s="2">
        <v>500000.0</v>
      </c>
      <c r="J50" s="2" t="s">
        <v>1385</v>
      </c>
      <c r="K50" s="2">
        <v>2022.0</v>
      </c>
      <c r="L50" s="2" t="s">
        <v>1387</v>
      </c>
    </row>
    <row r="51">
      <c r="A51" s="118" t="s">
        <v>1188</v>
      </c>
      <c r="B51" s="118" t="s">
        <v>1388</v>
      </c>
      <c r="C51" s="118" t="s">
        <v>1389</v>
      </c>
      <c r="D51" s="118">
        <v>3.0</v>
      </c>
      <c r="E51" s="118" t="s">
        <v>1390</v>
      </c>
      <c r="F51" s="118" t="s">
        <v>1391</v>
      </c>
      <c r="G51" s="118" t="s">
        <v>21</v>
      </c>
      <c r="H51" s="118" t="s">
        <v>1296</v>
      </c>
      <c r="I51" s="133">
        <v>1500.0</v>
      </c>
      <c r="J51" s="118" t="s">
        <v>1392</v>
      </c>
      <c r="K51" s="118">
        <v>2022.0</v>
      </c>
      <c r="L51" s="118" t="s">
        <v>1393</v>
      </c>
      <c r="M51" s="115"/>
      <c r="N51" s="115"/>
      <c r="O51" s="115"/>
      <c r="P51" s="115"/>
      <c r="Q51" s="115"/>
      <c r="R51" s="115"/>
      <c r="S51" s="115"/>
      <c r="T51" s="115"/>
      <c r="U51" s="115"/>
      <c r="V51" s="115"/>
      <c r="W51" s="115"/>
      <c r="X51" s="115"/>
      <c r="Y51" s="115"/>
      <c r="Z51" s="115"/>
    </row>
    <row r="52">
      <c r="A52" s="118" t="s">
        <v>1394</v>
      </c>
      <c r="B52" s="118" t="s">
        <v>1395</v>
      </c>
      <c r="C52" s="118" t="s">
        <v>1396</v>
      </c>
      <c r="D52" s="118">
        <v>40.0</v>
      </c>
      <c r="E52" s="118" t="s">
        <v>1397</v>
      </c>
      <c r="F52" s="118" t="s">
        <v>1398</v>
      </c>
      <c r="G52" s="118" t="s">
        <v>22</v>
      </c>
      <c r="H52" s="118" t="s">
        <v>1399</v>
      </c>
      <c r="I52" s="118" t="s">
        <v>1400</v>
      </c>
      <c r="J52" s="118" t="s">
        <v>1401</v>
      </c>
      <c r="K52" s="118">
        <v>2022.0</v>
      </c>
      <c r="L52" s="118" t="s">
        <v>1402</v>
      </c>
      <c r="M52" s="115"/>
      <c r="N52" s="115"/>
      <c r="O52" s="115"/>
      <c r="P52" s="115"/>
      <c r="Q52" s="115"/>
      <c r="R52" s="115"/>
      <c r="S52" s="115"/>
      <c r="T52" s="115"/>
      <c r="U52" s="115"/>
      <c r="V52" s="115"/>
      <c r="W52" s="115"/>
      <c r="X52" s="115"/>
      <c r="Y52" s="115"/>
      <c r="Z52" s="115"/>
    </row>
  </sheetData>
  <hyperlinks>
    <hyperlink r:id="rId4" ref="B5"/>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5" max="5" width="27.75"/>
  </cols>
  <sheetData>
    <row r="1">
      <c r="A1" s="134" t="s">
        <v>270</v>
      </c>
      <c r="B1" s="134"/>
      <c r="C1" s="134" t="s">
        <v>1403</v>
      </c>
      <c r="D1" s="134" t="s">
        <v>1404</v>
      </c>
      <c r="E1" s="135" t="s">
        <v>1405</v>
      </c>
      <c r="F1" s="136" t="s">
        <v>1406</v>
      </c>
      <c r="G1" s="137" t="s">
        <v>1407</v>
      </c>
      <c r="H1" s="134" t="s">
        <v>1408</v>
      </c>
      <c r="I1" s="134" t="s">
        <v>1409</v>
      </c>
      <c r="J1" s="134" t="s">
        <v>1410</v>
      </c>
      <c r="K1" s="18" t="s">
        <v>1411</v>
      </c>
    </row>
    <row r="2">
      <c r="A2" s="8" t="s">
        <v>18</v>
      </c>
      <c r="B2" s="138" t="s">
        <v>276</v>
      </c>
      <c r="C2" s="8" t="s">
        <v>974</v>
      </c>
      <c r="D2" s="8" t="s">
        <v>1412</v>
      </c>
      <c r="E2" s="8" t="s">
        <v>1413</v>
      </c>
      <c r="F2" s="8" t="s">
        <v>1414</v>
      </c>
      <c r="G2" s="8" t="s">
        <v>1415</v>
      </c>
      <c r="H2" s="139" t="s">
        <v>286</v>
      </c>
      <c r="I2" s="8" t="s">
        <v>1416</v>
      </c>
      <c r="J2" s="140">
        <v>44859.0</v>
      </c>
      <c r="K2" s="140">
        <v>44866.0</v>
      </c>
    </row>
    <row r="3">
      <c r="A3" s="8" t="s">
        <v>28</v>
      </c>
      <c r="B3" s="138" t="s">
        <v>313</v>
      </c>
      <c r="C3" s="8" t="s">
        <v>974</v>
      </c>
      <c r="D3" s="8" t="s">
        <v>975</v>
      </c>
      <c r="E3" s="141"/>
      <c r="F3" s="141"/>
      <c r="G3" s="8" t="s">
        <v>1417</v>
      </c>
      <c r="H3" s="141"/>
      <c r="I3" s="141"/>
      <c r="J3" s="141"/>
      <c r="K3" s="140">
        <v>44866.0</v>
      </c>
    </row>
    <row r="4">
      <c r="A4" s="126" t="s">
        <v>33</v>
      </c>
      <c r="B4" s="138" t="s">
        <v>316</v>
      </c>
      <c r="C4" s="8"/>
      <c r="D4" s="8" t="s">
        <v>996</v>
      </c>
      <c r="E4" s="8" t="s">
        <v>1418</v>
      </c>
      <c r="F4" s="8" t="s">
        <v>1414</v>
      </c>
      <c r="G4" s="8" t="s">
        <v>1415</v>
      </c>
      <c r="H4" s="139" t="s">
        <v>32</v>
      </c>
      <c r="I4" s="141"/>
      <c r="J4" s="140">
        <v>44859.0</v>
      </c>
      <c r="K4" s="140">
        <v>44866.0</v>
      </c>
    </row>
    <row r="5">
      <c r="A5" s="8" t="s">
        <v>255</v>
      </c>
      <c r="B5" s="138" t="s">
        <v>322</v>
      </c>
      <c r="C5" s="8"/>
      <c r="D5" s="8" t="s">
        <v>996</v>
      </c>
      <c r="E5" s="8" t="s">
        <v>1419</v>
      </c>
      <c r="F5" s="8" t="s">
        <v>1420</v>
      </c>
      <c r="G5" s="8" t="s">
        <v>1415</v>
      </c>
      <c r="H5" s="139" t="s">
        <v>321</v>
      </c>
      <c r="I5" s="141"/>
      <c r="J5" s="141"/>
      <c r="K5" s="140">
        <v>44866.0</v>
      </c>
    </row>
    <row r="6">
      <c r="A6" s="8" t="s">
        <v>1421</v>
      </c>
      <c r="B6" s="138" t="s">
        <v>326</v>
      </c>
      <c r="C6" s="8" t="s">
        <v>974</v>
      </c>
      <c r="D6" s="8" t="s">
        <v>975</v>
      </c>
      <c r="E6" s="141"/>
      <c r="F6" s="141"/>
      <c r="G6" s="8" t="s">
        <v>1415</v>
      </c>
      <c r="H6" s="139" t="s">
        <v>1422</v>
      </c>
      <c r="I6" s="141"/>
      <c r="J6" s="141"/>
      <c r="K6" s="140">
        <v>44866.0</v>
      </c>
    </row>
    <row r="7">
      <c r="A7" s="8" t="s">
        <v>257</v>
      </c>
      <c r="B7" s="138" t="s">
        <v>333</v>
      </c>
      <c r="C7" s="8"/>
      <c r="D7" s="8" t="s">
        <v>996</v>
      </c>
      <c r="E7" s="8" t="s">
        <v>1423</v>
      </c>
      <c r="F7" s="8" t="s">
        <v>1414</v>
      </c>
      <c r="G7" s="8" t="s">
        <v>1415</v>
      </c>
      <c r="H7" s="139" t="s">
        <v>339</v>
      </c>
      <c r="I7" s="141"/>
      <c r="J7" s="141"/>
      <c r="K7" s="140">
        <v>44866.0</v>
      </c>
    </row>
    <row r="8">
      <c r="A8" s="8" t="s">
        <v>37</v>
      </c>
      <c r="B8" s="138" t="s">
        <v>346</v>
      </c>
      <c r="C8" s="8"/>
      <c r="D8" s="8" t="s">
        <v>996</v>
      </c>
      <c r="E8" s="8" t="s">
        <v>1424</v>
      </c>
      <c r="F8" s="8" t="s">
        <v>1425</v>
      </c>
      <c r="G8" s="8" t="s">
        <v>1415</v>
      </c>
      <c r="H8" s="139" t="s">
        <v>36</v>
      </c>
      <c r="I8" s="141"/>
      <c r="J8" s="141"/>
      <c r="K8" s="140">
        <v>44866.0</v>
      </c>
    </row>
    <row r="9">
      <c r="A9" s="8" t="s">
        <v>45</v>
      </c>
      <c r="B9" s="138" t="s">
        <v>365</v>
      </c>
      <c r="C9" s="8"/>
      <c r="D9" s="8" t="s">
        <v>1426</v>
      </c>
      <c r="E9" s="141"/>
      <c r="F9" s="141"/>
      <c r="G9" s="8" t="s">
        <v>1415</v>
      </c>
      <c r="H9" s="139" t="s">
        <v>364</v>
      </c>
      <c r="I9" s="8" t="s">
        <v>1427</v>
      </c>
      <c r="J9" s="141"/>
      <c r="K9" s="140">
        <v>44866.0</v>
      </c>
    </row>
    <row r="10">
      <c r="A10" s="8" t="s">
        <v>48</v>
      </c>
      <c r="B10" s="138" t="s">
        <v>374</v>
      </c>
      <c r="C10" s="8"/>
      <c r="D10" s="8" t="s">
        <v>1426</v>
      </c>
      <c r="E10" s="8" t="s">
        <v>1428</v>
      </c>
      <c r="F10" s="8" t="s">
        <v>1429</v>
      </c>
      <c r="G10" s="8" t="s">
        <v>1415</v>
      </c>
      <c r="H10" s="139" t="s">
        <v>927</v>
      </c>
      <c r="I10" s="8" t="s">
        <v>1427</v>
      </c>
      <c r="J10" s="141"/>
      <c r="K10" s="140">
        <v>44866.0</v>
      </c>
    </row>
    <row r="11">
      <c r="A11" s="8" t="s">
        <v>258</v>
      </c>
      <c r="B11" s="138" t="s">
        <v>389</v>
      </c>
      <c r="C11" s="8"/>
      <c r="D11" s="8" t="s">
        <v>996</v>
      </c>
      <c r="E11" s="8" t="s">
        <v>1430</v>
      </c>
      <c r="F11" s="8" t="s">
        <v>1431</v>
      </c>
      <c r="G11" s="8" t="s">
        <v>1415</v>
      </c>
      <c r="H11" s="139" t="s">
        <v>388</v>
      </c>
      <c r="I11" s="141"/>
      <c r="J11" s="141"/>
      <c r="K11" s="140">
        <v>44866.0</v>
      </c>
    </row>
    <row r="12">
      <c r="A12" s="8" t="s">
        <v>54</v>
      </c>
      <c r="B12" s="138" t="s">
        <v>396</v>
      </c>
      <c r="C12" s="8"/>
      <c r="D12" s="8" t="s">
        <v>975</v>
      </c>
      <c r="E12" s="141"/>
      <c r="F12" s="141"/>
      <c r="G12" s="8" t="s">
        <v>811</v>
      </c>
      <c r="H12" s="139" t="s">
        <v>55</v>
      </c>
      <c r="I12" s="141"/>
      <c r="J12" s="141"/>
      <c r="K12" s="140">
        <v>44866.0</v>
      </c>
    </row>
    <row r="13">
      <c r="A13" s="8" t="s">
        <v>259</v>
      </c>
      <c r="B13" s="138" t="s">
        <v>408</v>
      </c>
      <c r="C13" s="8"/>
      <c r="D13" s="8" t="s">
        <v>975</v>
      </c>
      <c r="E13" s="141"/>
      <c r="F13" s="141"/>
      <c r="G13" s="8" t="s">
        <v>811</v>
      </c>
      <c r="H13" s="141"/>
      <c r="I13" s="141"/>
      <c r="J13" s="141"/>
      <c r="K13" s="140">
        <v>44866.0</v>
      </c>
    </row>
    <row r="14">
      <c r="A14" s="8" t="s">
        <v>60</v>
      </c>
      <c r="B14" s="138" t="s">
        <v>412</v>
      </c>
      <c r="C14" s="8"/>
      <c r="D14" s="8" t="s">
        <v>996</v>
      </c>
      <c r="E14" s="8" t="s">
        <v>1432</v>
      </c>
      <c r="F14" s="8" t="s">
        <v>1433</v>
      </c>
      <c r="G14" s="8" t="s">
        <v>493</v>
      </c>
      <c r="H14" s="141"/>
      <c r="I14" s="141"/>
      <c r="J14" s="141"/>
      <c r="K14" s="140">
        <v>44866.0</v>
      </c>
    </row>
    <row r="15">
      <c r="A15" s="8" t="s">
        <v>69</v>
      </c>
      <c r="B15" s="138" t="s">
        <v>432</v>
      </c>
      <c r="C15" s="8"/>
      <c r="D15" s="8" t="s">
        <v>996</v>
      </c>
      <c r="E15" s="8" t="s">
        <v>1434</v>
      </c>
      <c r="F15" s="8" t="s">
        <v>1435</v>
      </c>
      <c r="G15" s="8" t="s">
        <v>493</v>
      </c>
      <c r="H15" s="139" t="s">
        <v>1436</v>
      </c>
      <c r="I15" s="141"/>
      <c r="J15" s="141"/>
      <c r="K15" s="140">
        <v>44866.0</v>
      </c>
    </row>
    <row r="16">
      <c r="A16" s="8" t="s">
        <v>76</v>
      </c>
      <c r="B16" s="138" t="s">
        <v>450</v>
      </c>
      <c r="C16" s="8"/>
      <c r="D16" s="8" t="s">
        <v>975</v>
      </c>
      <c r="E16" s="141"/>
      <c r="F16" s="141"/>
      <c r="G16" s="8" t="s">
        <v>493</v>
      </c>
      <c r="H16" s="139" t="s">
        <v>1437</v>
      </c>
      <c r="I16" s="141"/>
      <c r="J16" s="140">
        <v>44859.0</v>
      </c>
      <c r="K16" s="140">
        <v>44866.0</v>
      </c>
    </row>
    <row r="17">
      <c r="A17" s="8" t="s">
        <v>90</v>
      </c>
      <c r="B17" s="138" t="s">
        <v>467</v>
      </c>
      <c r="C17" s="8"/>
      <c r="D17" s="8" t="s">
        <v>996</v>
      </c>
      <c r="E17" s="8" t="s">
        <v>1434</v>
      </c>
      <c r="F17" s="8" t="s">
        <v>1435</v>
      </c>
      <c r="G17" s="8" t="s">
        <v>493</v>
      </c>
      <c r="H17" s="139" t="s">
        <v>1438</v>
      </c>
      <c r="I17" s="141"/>
      <c r="J17" s="141"/>
      <c r="K17" s="140">
        <v>44866.0</v>
      </c>
    </row>
    <row r="18">
      <c r="A18" s="8" t="s">
        <v>261</v>
      </c>
      <c r="B18" s="138" t="s">
        <v>483</v>
      </c>
      <c r="C18" s="8"/>
      <c r="D18" s="8" t="s">
        <v>975</v>
      </c>
      <c r="E18" s="141"/>
      <c r="F18" s="141"/>
      <c r="G18" s="8" t="s">
        <v>493</v>
      </c>
      <c r="H18" s="139" t="s">
        <v>1439</v>
      </c>
      <c r="I18" s="141"/>
      <c r="J18" s="140">
        <v>44859.0</v>
      </c>
      <c r="K18" s="140">
        <v>44866.0</v>
      </c>
    </row>
    <row r="19">
      <c r="A19" s="8" t="s">
        <v>94</v>
      </c>
      <c r="B19" s="138" t="s">
        <v>492</v>
      </c>
      <c r="C19" s="8" t="s">
        <v>974</v>
      </c>
      <c r="D19" s="8" t="s">
        <v>996</v>
      </c>
      <c r="E19" s="8" t="s">
        <v>1440</v>
      </c>
      <c r="F19" s="8" t="s">
        <v>1435</v>
      </c>
      <c r="G19" s="8" t="s">
        <v>493</v>
      </c>
      <c r="H19" s="139" t="s">
        <v>1441</v>
      </c>
      <c r="I19" s="141"/>
      <c r="J19" s="140">
        <v>44859.0</v>
      </c>
      <c r="K19" s="140">
        <v>44866.0</v>
      </c>
    </row>
    <row r="20">
      <c r="A20" s="8" t="s">
        <v>99</v>
      </c>
      <c r="B20" s="138" t="s">
        <v>495</v>
      </c>
      <c r="C20" s="8"/>
      <c r="D20" s="8" t="s">
        <v>996</v>
      </c>
      <c r="E20" s="8" t="s">
        <v>1442</v>
      </c>
      <c r="F20" s="8" t="s">
        <v>1443</v>
      </c>
      <c r="G20" s="8" t="s">
        <v>493</v>
      </c>
      <c r="H20" s="139" t="s">
        <v>1444</v>
      </c>
      <c r="I20" s="141"/>
      <c r="J20" s="141"/>
      <c r="K20" s="140">
        <v>44866.0</v>
      </c>
    </row>
    <row r="21">
      <c r="A21" s="8" t="s">
        <v>1445</v>
      </c>
      <c r="B21" s="138" t="s">
        <v>512</v>
      </c>
      <c r="C21" s="8"/>
      <c r="D21" s="8" t="s">
        <v>975</v>
      </c>
      <c r="E21" s="141"/>
      <c r="F21" s="141"/>
      <c r="G21" s="141"/>
      <c r="H21" s="142"/>
      <c r="I21" s="141"/>
      <c r="J21" s="141"/>
      <c r="K21" s="140">
        <v>44866.0</v>
      </c>
    </row>
    <row r="22">
      <c r="A22" s="8" t="s">
        <v>107</v>
      </c>
      <c r="B22" s="138" t="s">
        <v>522</v>
      </c>
      <c r="C22" s="8"/>
      <c r="D22" s="8" t="s">
        <v>996</v>
      </c>
      <c r="E22" s="8" t="s">
        <v>1446</v>
      </c>
      <c r="F22" s="8" t="s">
        <v>1447</v>
      </c>
      <c r="G22" s="8" t="s">
        <v>493</v>
      </c>
      <c r="H22" s="139" t="s">
        <v>1448</v>
      </c>
      <c r="I22" s="141"/>
      <c r="J22" s="140">
        <v>44859.0</v>
      </c>
      <c r="K22" s="140">
        <v>44866.0</v>
      </c>
    </row>
    <row r="23">
      <c r="A23" s="8" t="s">
        <v>1449</v>
      </c>
      <c r="B23" s="138" t="s">
        <v>557</v>
      </c>
      <c r="C23" s="8"/>
      <c r="D23" s="8" t="s">
        <v>975</v>
      </c>
      <c r="E23" s="141"/>
      <c r="F23" s="141"/>
      <c r="G23" s="8" t="s">
        <v>625</v>
      </c>
      <c r="H23" s="141"/>
      <c r="I23" s="141"/>
      <c r="J23" s="141"/>
      <c r="K23" s="140">
        <v>44866.0</v>
      </c>
    </row>
    <row r="24">
      <c r="A24" s="8" t="s">
        <v>118</v>
      </c>
      <c r="B24" s="138" t="s">
        <v>565</v>
      </c>
      <c r="C24" s="8"/>
      <c r="D24" s="8" t="s">
        <v>975</v>
      </c>
      <c r="E24" s="141"/>
      <c r="F24" s="141"/>
      <c r="G24" s="8" t="s">
        <v>625</v>
      </c>
      <c r="H24" s="141"/>
      <c r="I24" s="141"/>
      <c r="J24" s="141"/>
      <c r="K24" s="140">
        <v>44866.0</v>
      </c>
    </row>
    <row r="25">
      <c r="A25" s="8" t="s">
        <v>121</v>
      </c>
      <c r="B25" s="138" t="s">
        <v>568</v>
      </c>
      <c r="C25" s="8"/>
      <c r="D25" s="8" t="s">
        <v>975</v>
      </c>
      <c r="E25" s="141"/>
      <c r="F25" s="141"/>
      <c r="G25" s="8" t="s">
        <v>625</v>
      </c>
      <c r="H25" s="139" t="s">
        <v>1450</v>
      </c>
      <c r="I25" s="141"/>
      <c r="J25" s="140">
        <v>44859.0</v>
      </c>
      <c r="K25" s="140">
        <v>44866.0</v>
      </c>
    </row>
    <row r="26">
      <c r="A26" s="8" t="s">
        <v>262</v>
      </c>
      <c r="B26" s="138" t="s">
        <v>584</v>
      </c>
      <c r="C26" s="8"/>
      <c r="D26" s="8" t="s">
        <v>975</v>
      </c>
      <c r="E26" s="141"/>
      <c r="F26" s="141"/>
      <c r="G26" s="8" t="s">
        <v>625</v>
      </c>
      <c r="H26" s="141"/>
      <c r="I26" s="141"/>
      <c r="J26" s="141"/>
      <c r="K26" s="140">
        <v>44866.0</v>
      </c>
    </row>
    <row r="27">
      <c r="A27" s="8" t="s">
        <v>131</v>
      </c>
      <c r="B27" s="138" t="s">
        <v>591</v>
      </c>
      <c r="C27" s="8"/>
      <c r="D27" s="8" t="s">
        <v>975</v>
      </c>
      <c r="E27" s="141"/>
      <c r="F27" s="141"/>
      <c r="G27" s="8" t="s">
        <v>625</v>
      </c>
      <c r="H27" s="139" t="s">
        <v>1451</v>
      </c>
      <c r="I27" s="141"/>
      <c r="J27" s="141"/>
      <c r="K27" s="140">
        <v>44866.0</v>
      </c>
    </row>
    <row r="28">
      <c r="A28" s="8" t="s">
        <v>263</v>
      </c>
      <c r="B28" s="138" t="s">
        <v>603</v>
      </c>
      <c r="C28" s="8"/>
      <c r="D28" s="8" t="s">
        <v>975</v>
      </c>
      <c r="E28" s="141"/>
      <c r="F28" s="141"/>
      <c r="G28" s="8" t="s">
        <v>625</v>
      </c>
      <c r="H28" s="141"/>
      <c r="I28" s="141"/>
      <c r="J28" s="141"/>
      <c r="K28" s="140">
        <v>44866.0</v>
      </c>
    </row>
    <row r="29">
      <c r="A29" s="8" t="s">
        <v>264</v>
      </c>
      <c r="B29" s="138" t="s">
        <v>607</v>
      </c>
      <c r="C29" s="8"/>
      <c r="D29" s="8" t="s">
        <v>975</v>
      </c>
      <c r="E29" s="141"/>
      <c r="F29" s="141"/>
      <c r="G29" s="8" t="s">
        <v>713</v>
      </c>
      <c r="H29" s="141"/>
      <c r="I29" s="141"/>
      <c r="J29" s="141"/>
      <c r="K29" s="140">
        <v>44866.0</v>
      </c>
    </row>
    <row r="30">
      <c r="A30" s="8" t="s">
        <v>142</v>
      </c>
      <c r="B30" s="138" t="s">
        <v>612</v>
      </c>
      <c r="C30" s="8"/>
      <c r="D30" s="8" t="s">
        <v>975</v>
      </c>
      <c r="E30" s="141"/>
      <c r="F30" s="141"/>
      <c r="G30" s="8" t="s">
        <v>713</v>
      </c>
      <c r="H30" s="139" t="s">
        <v>1452</v>
      </c>
      <c r="I30" s="141"/>
      <c r="J30" s="140">
        <v>44859.0</v>
      </c>
      <c r="K30" s="140">
        <v>44866.0</v>
      </c>
    </row>
    <row r="31">
      <c r="A31" s="8" t="s">
        <v>1453</v>
      </c>
      <c r="B31" s="138" t="s">
        <v>624</v>
      </c>
      <c r="C31" s="8" t="s">
        <v>974</v>
      </c>
      <c r="D31" s="8" t="s">
        <v>975</v>
      </c>
      <c r="E31" s="141"/>
      <c r="F31" s="141"/>
      <c r="G31" s="8" t="s">
        <v>713</v>
      </c>
      <c r="H31" s="141"/>
      <c r="I31" s="141"/>
      <c r="J31" s="141"/>
      <c r="K31" s="140">
        <v>44866.0</v>
      </c>
    </row>
    <row r="32">
      <c r="A32" s="8" t="s">
        <v>146</v>
      </c>
      <c r="B32" s="138" t="s">
        <v>627</v>
      </c>
      <c r="C32" s="8"/>
      <c r="D32" s="8" t="s">
        <v>975</v>
      </c>
      <c r="E32" s="141"/>
      <c r="F32" s="141"/>
      <c r="G32" s="8" t="s">
        <v>713</v>
      </c>
      <c r="H32" s="139" t="s">
        <v>1454</v>
      </c>
      <c r="I32" s="141"/>
      <c r="J32" s="140">
        <v>44859.0</v>
      </c>
      <c r="K32" s="140">
        <v>44866.0</v>
      </c>
    </row>
    <row r="33">
      <c r="A33" s="8" t="s">
        <v>149</v>
      </c>
      <c r="B33" s="138" t="s">
        <v>642</v>
      </c>
      <c r="C33" s="8"/>
      <c r="D33" s="8" t="s">
        <v>1426</v>
      </c>
      <c r="E33" s="141"/>
      <c r="F33" s="141"/>
      <c r="G33" s="8" t="s">
        <v>713</v>
      </c>
      <c r="H33" s="139" t="s">
        <v>647</v>
      </c>
      <c r="I33" s="141"/>
      <c r="J33" s="140">
        <v>44859.0</v>
      </c>
      <c r="K33" s="140">
        <v>44866.0</v>
      </c>
    </row>
    <row r="34">
      <c r="A34" s="8" t="s">
        <v>1455</v>
      </c>
      <c r="B34" s="138" t="s">
        <v>660</v>
      </c>
      <c r="C34" s="8" t="s">
        <v>974</v>
      </c>
      <c r="D34" s="8" t="s">
        <v>975</v>
      </c>
      <c r="E34" s="141"/>
      <c r="F34" s="141"/>
      <c r="G34" s="8" t="s">
        <v>1417</v>
      </c>
      <c r="H34" s="141"/>
      <c r="I34" s="141"/>
      <c r="J34" s="141"/>
      <c r="K34" s="140">
        <v>44866.0</v>
      </c>
    </row>
    <row r="35">
      <c r="A35" s="8" t="s">
        <v>153</v>
      </c>
      <c r="B35" s="138" t="s">
        <v>668</v>
      </c>
      <c r="C35" s="8"/>
      <c r="D35" s="8" t="s">
        <v>996</v>
      </c>
      <c r="E35" s="8" t="s">
        <v>1432</v>
      </c>
      <c r="F35" s="8" t="s">
        <v>1433</v>
      </c>
      <c r="G35" s="8" t="s">
        <v>353</v>
      </c>
      <c r="H35" s="139" t="s">
        <v>1456</v>
      </c>
      <c r="I35" s="141"/>
      <c r="J35" s="140">
        <v>44859.0</v>
      </c>
      <c r="K35" s="140">
        <v>44866.0</v>
      </c>
    </row>
    <row r="36">
      <c r="A36" s="8" t="s">
        <v>161</v>
      </c>
      <c r="B36" s="138" t="s">
        <v>679</v>
      </c>
      <c r="C36" s="8"/>
      <c r="D36" s="8" t="s">
        <v>996</v>
      </c>
      <c r="E36" s="8" t="s">
        <v>1457</v>
      </c>
      <c r="F36" s="8" t="s">
        <v>1458</v>
      </c>
      <c r="G36" s="8" t="s">
        <v>353</v>
      </c>
      <c r="H36" s="139" t="s">
        <v>1459</v>
      </c>
      <c r="I36" s="141"/>
      <c r="J36" s="140">
        <v>44859.0</v>
      </c>
      <c r="K36" s="140">
        <v>44866.0</v>
      </c>
    </row>
    <row r="37">
      <c r="A37" s="8" t="s">
        <v>169</v>
      </c>
      <c r="B37" s="138" t="s">
        <v>697</v>
      </c>
      <c r="C37" s="8"/>
      <c r="D37" s="8" t="s">
        <v>996</v>
      </c>
      <c r="E37" s="8" t="s">
        <v>1460</v>
      </c>
      <c r="F37" s="8" t="s">
        <v>1461</v>
      </c>
      <c r="G37" s="8" t="s">
        <v>353</v>
      </c>
      <c r="H37" s="139" t="s">
        <v>1462</v>
      </c>
      <c r="I37" s="141"/>
      <c r="J37" s="141"/>
      <c r="K37" s="140">
        <v>44866.0</v>
      </c>
    </row>
    <row r="38">
      <c r="A38" s="8" t="s">
        <v>192</v>
      </c>
      <c r="B38" s="138" t="s">
        <v>722</v>
      </c>
      <c r="C38" s="8"/>
      <c r="D38" s="8" t="s">
        <v>996</v>
      </c>
      <c r="E38" s="8" t="s">
        <v>1440</v>
      </c>
      <c r="F38" s="8" t="s">
        <v>1463</v>
      </c>
      <c r="G38" s="8" t="s">
        <v>353</v>
      </c>
      <c r="H38" s="139" t="s">
        <v>1464</v>
      </c>
      <c r="I38" s="141"/>
      <c r="J38" s="141"/>
      <c r="K38" s="140">
        <v>44866.0</v>
      </c>
    </row>
    <row r="39">
      <c r="A39" s="8" t="s">
        <v>1465</v>
      </c>
      <c r="B39" s="138" t="s">
        <v>735</v>
      </c>
      <c r="C39" s="8" t="s">
        <v>974</v>
      </c>
      <c r="D39" s="8" t="s">
        <v>975</v>
      </c>
      <c r="E39" s="141"/>
      <c r="F39" s="141"/>
      <c r="G39" s="8" t="s">
        <v>1417</v>
      </c>
      <c r="H39" s="141"/>
      <c r="I39" s="141"/>
      <c r="J39" s="141"/>
      <c r="K39" s="140">
        <v>44866.0</v>
      </c>
    </row>
    <row r="40">
      <c r="A40" s="8" t="s">
        <v>265</v>
      </c>
      <c r="B40" s="138" t="s">
        <v>741</v>
      </c>
      <c r="C40" s="8"/>
      <c r="D40" s="8" t="s">
        <v>1426</v>
      </c>
      <c r="E40" s="141"/>
      <c r="F40" s="141"/>
      <c r="G40" s="8" t="s">
        <v>353</v>
      </c>
      <c r="H40" s="139" t="s">
        <v>1466</v>
      </c>
      <c r="I40" s="8" t="s">
        <v>1427</v>
      </c>
      <c r="J40" s="141"/>
      <c r="K40" s="140">
        <v>44866.0</v>
      </c>
    </row>
    <row r="41">
      <c r="A41" s="8" t="s">
        <v>196</v>
      </c>
      <c r="B41" s="138" t="s">
        <v>759</v>
      </c>
      <c r="C41" s="8"/>
      <c r="D41" s="8" t="s">
        <v>996</v>
      </c>
      <c r="E41" s="8" t="s">
        <v>1467</v>
      </c>
      <c r="F41" s="8" t="s">
        <v>1461</v>
      </c>
      <c r="G41" s="8" t="s">
        <v>353</v>
      </c>
      <c r="H41" s="139" t="s">
        <v>1468</v>
      </c>
      <c r="I41" s="141"/>
      <c r="J41" s="141"/>
      <c r="K41" s="140">
        <v>44866.0</v>
      </c>
    </row>
    <row r="42">
      <c r="A42" s="8" t="s">
        <v>202</v>
      </c>
      <c r="B42" s="138" t="s">
        <v>770</v>
      </c>
      <c r="C42" s="8"/>
      <c r="D42" s="8" t="s">
        <v>996</v>
      </c>
      <c r="E42" s="8" t="s">
        <v>1469</v>
      </c>
      <c r="F42" s="8" t="s">
        <v>1470</v>
      </c>
      <c r="G42" s="8" t="s">
        <v>353</v>
      </c>
      <c r="H42" s="139" t="s">
        <v>1471</v>
      </c>
      <c r="I42" s="141"/>
      <c r="J42" s="141"/>
      <c r="K42" s="140">
        <v>44866.0</v>
      </c>
    </row>
    <row r="43">
      <c r="A43" s="8" t="s">
        <v>266</v>
      </c>
      <c r="B43" s="138" t="s">
        <v>793</v>
      </c>
      <c r="C43" s="8"/>
      <c r="D43" s="8" t="s">
        <v>975</v>
      </c>
      <c r="E43" s="141"/>
      <c r="F43" s="141"/>
      <c r="G43" s="8" t="s">
        <v>811</v>
      </c>
      <c r="H43" s="142"/>
      <c r="I43" s="141"/>
      <c r="J43" s="141"/>
      <c r="K43" s="140">
        <v>44866.0</v>
      </c>
    </row>
    <row r="44">
      <c r="A44" s="8" t="s">
        <v>205</v>
      </c>
      <c r="B44" s="138" t="s">
        <v>802</v>
      </c>
      <c r="C44" s="8"/>
      <c r="D44" s="8" t="s">
        <v>975</v>
      </c>
      <c r="E44" s="141"/>
      <c r="F44" s="141"/>
      <c r="G44" s="8" t="s">
        <v>811</v>
      </c>
      <c r="H44" s="8" t="s">
        <v>952</v>
      </c>
      <c r="I44" s="141"/>
      <c r="J44" s="141"/>
      <c r="K44" s="140">
        <v>44866.0</v>
      </c>
    </row>
    <row r="45">
      <c r="A45" s="8" t="s">
        <v>205</v>
      </c>
      <c r="B45" s="138" t="s">
        <v>802</v>
      </c>
      <c r="C45" s="8"/>
      <c r="D45" s="8" t="s">
        <v>1472</v>
      </c>
      <c r="E45" s="141"/>
      <c r="F45" s="141"/>
      <c r="G45" s="8" t="s">
        <v>803</v>
      </c>
      <c r="H45" s="139" t="s">
        <v>1473</v>
      </c>
      <c r="I45" s="8" t="s">
        <v>1474</v>
      </c>
      <c r="J45" s="140">
        <v>44859.0</v>
      </c>
      <c r="K45" s="140">
        <v>44866.0</v>
      </c>
    </row>
    <row r="46">
      <c r="A46" s="8" t="s">
        <v>1475</v>
      </c>
      <c r="B46" s="138" t="s">
        <v>825</v>
      </c>
      <c r="C46" s="8" t="s">
        <v>974</v>
      </c>
      <c r="D46" s="8" t="s">
        <v>975</v>
      </c>
      <c r="E46" s="141"/>
      <c r="F46" s="141"/>
      <c r="G46" s="8" t="s">
        <v>1417</v>
      </c>
      <c r="H46" s="142"/>
      <c r="I46" s="141"/>
      <c r="J46" s="141"/>
      <c r="K46" s="140">
        <v>44866.0</v>
      </c>
    </row>
    <row r="47">
      <c r="A47" s="8" t="s">
        <v>227</v>
      </c>
      <c r="B47" s="138" t="s">
        <v>829</v>
      </c>
      <c r="C47" s="8"/>
      <c r="D47" s="8" t="s">
        <v>1426</v>
      </c>
      <c r="E47" s="141"/>
      <c r="F47" s="141"/>
      <c r="G47" s="8" t="s">
        <v>811</v>
      </c>
      <c r="H47" s="139" t="s">
        <v>1476</v>
      </c>
      <c r="I47" s="8" t="s">
        <v>1427</v>
      </c>
      <c r="J47" s="141"/>
      <c r="K47" s="140">
        <v>44866.0</v>
      </c>
    </row>
    <row r="48">
      <c r="A48" s="8" t="s">
        <v>1477</v>
      </c>
      <c r="B48" s="138" t="s">
        <v>864</v>
      </c>
      <c r="C48" s="8" t="s">
        <v>974</v>
      </c>
      <c r="D48" s="8" t="s">
        <v>975</v>
      </c>
      <c r="E48" s="141"/>
      <c r="F48" s="141"/>
      <c r="G48" s="8" t="s">
        <v>1417</v>
      </c>
      <c r="H48" s="142"/>
      <c r="I48" s="141"/>
      <c r="J48" s="141"/>
      <c r="K48" s="140">
        <v>44866.0</v>
      </c>
    </row>
    <row r="49">
      <c r="A49" s="8" t="s">
        <v>236</v>
      </c>
      <c r="B49" s="138" t="s">
        <v>867</v>
      </c>
      <c r="C49" s="8"/>
      <c r="D49" s="8" t="s">
        <v>975</v>
      </c>
      <c r="E49" s="141"/>
      <c r="F49" s="141"/>
      <c r="G49" s="8" t="s">
        <v>811</v>
      </c>
      <c r="H49" s="142"/>
      <c r="I49" s="141"/>
      <c r="J49" s="141"/>
      <c r="K49" s="140">
        <v>44866.0</v>
      </c>
    </row>
    <row r="50">
      <c r="A50" s="8" t="s">
        <v>244</v>
      </c>
      <c r="B50" s="138" t="s">
        <v>892</v>
      </c>
      <c r="C50" s="8" t="s">
        <v>974</v>
      </c>
      <c r="D50" s="8" t="s">
        <v>996</v>
      </c>
      <c r="E50" s="8" t="s">
        <v>1442</v>
      </c>
      <c r="F50" s="8" t="s">
        <v>1443</v>
      </c>
      <c r="G50" s="8" t="s">
        <v>1417</v>
      </c>
      <c r="H50" s="139" t="s">
        <v>243</v>
      </c>
      <c r="I50" s="141"/>
      <c r="J50" s="141"/>
      <c r="K50" s="140">
        <v>44866.0</v>
      </c>
    </row>
    <row r="51">
      <c r="A51" s="143"/>
      <c r="C51" s="143"/>
      <c r="D51" s="143"/>
      <c r="E51" s="143"/>
      <c r="F51" s="143"/>
      <c r="G51" s="143"/>
      <c r="H51" s="144"/>
      <c r="I51" s="143"/>
      <c r="J51" s="143"/>
      <c r="K51" s="140"/>
    </row>
    <row r="52">
      <c r="A52" s="145" t="s">
        <v>1478</v>
      </c>
      <c r="B52" s="8"/>
      <c r="C52" s="8"/>
      <c r="D52" s="8" t="s">
        <v>1426</v>
      </c>
      <c r="E52" s="141"/>
      <c r="F52" s="141"/>
      <c r="G52" s="8" t="s">
        <v>540</v>
      </c>
      <c r="H52" s="139" t="s">
        <v>106</v>
      </c>
      <c r="I52" s="8" t="s">
        <v>1427</v>
      </c>
      <c r="J52" s="141"/>
      <c r="K52" s="140"/>
    </row>
    <row r="53">
      <c r="A53" s="145" t="s">
        <v>1479</v>
      </c>
      <c r="B53" s="8"/>
      <c r="C53" s="8"/>
      <c r="D53" s="8" t="s">
        <v>1426</v>
      </c>
      <c r="E53" s="141"/>
      <c r="F53" s="141"/>
      <c r="G53" s="141"/>
      <c r="H53" s="141"/>
      <c r="I53" s="8" t="s">
        <v>1427</v>
      </c>
      <c r="J53" s="141"/>
      <c r="K53" s="140"/>
    </row>
    <row r="54">
      <c r="A54" s="141"/>
      <c r="B54" s="141"/>
      <c r="C54" s="141"/>
      <c r="D54" s="141"/>
      <c r="E54" s="141"/>
      <c r="F54" s="141"/>
      <c r="G54" s="141"/>
      <c r="H54" s="141"/>
      <c r="I54" s="141"/>
      <c r="J54" s="141"/>
      <c r="K54" s="140"/>
    </row>
    <row r="55">
      <c r="A55" s="8" t="s">
        <v>963</v>
      </c>
      <c r="B55" s="8"/>
      <c r="C55" s="8"/>
      <c r="D55" s="8" t="s">
        <v>975</v>
      </c>
      <c r="E55" s="141"/>
      <c r="F55" s="141"/>
      <c r="G55" s="8" t="s">
        <v>964</v>
      </c>
      <c r="H55" s="139" t="s">
        <v>1448</v>
      </c>
      <c r="I55" s="141"/>
      <c r="J55" s="141"/>
      <c r="K55" s="140"/>
    </row>
  </sheetData>
  <hyperlinks>
    <hyperlink r:id="rId1" ref="H2"/>
    <hyperlink r:id="rId2" ref="H4"/>
    <hyperlink r:id="rId3" ref="H5"/>
    <hyperlink r:id="rId4" ref="H6"/>
    <hyperlink r:id="rId5" ref="H7"/>
    <hyperlink r:id="rId6" ref="H8"/>
    <hyperlink r:id="rId7" ref="H9"/>
    <hyperlink r:id="rId8" ref="H10"/>
    <hyperlink r:id="rId9" ref="H11"/>
    <hyperlink r:id="rId10" ref="H12"/>
    <hyperlink r:id="rId11" ref="H15"/>
    <hyperlink r:id="rId12" ref="H16"/>
    <hyperlink r:id="rId13" ref="H17"/>
    <hyperlink r:id="rId14" ref="H18"/>
    <hyperlink r:id="rId15" ref="H19"/>
    <hyperlink r:id="rId16" ref="H20"/>
    <hyperlink r:id="rId17" ref="H22"/>
    <hyperlink r:id="rId18" ref="H25"/>
    <hyperlink r:id="rId19" ref="H27"/>
    <hyperlink r:id="rId20" ref="H30"/>
    <hyperlink r:id="rId21" ref="H32"/>
    <hyperlink r:id="rId22" ref="H33"/>
    <hyperlink r:id="rId23" ref="H35"/>
    <hyperlink r:id="rId24" ref="H36"/>
    <hyperlink r:id="rId25" ref="H37"/>
    <hyperlink r:id="rId26" ref="H38"/>
    <hyperlink r:id="rId27" ref="H40"/>
    <hyperlink r:id="rId28" ref="H41"/>
    <hyperlink r:id="rId29" ref="H42"/>
    <hyperlink r:id="rId30" ref="H45"/>
    <hyperlink r:id="rId31" ref="H47"/>
    <hyperlink r:id="rId32" ref="H50"/>
    <hyperlink r:id="rId33" ref="H52"/>
    <hyperlink r:id="rId34" ref="H55"/>
  </hyperlinks>
  <drawing r:id="rId35"/>
</worksheet>
</file>