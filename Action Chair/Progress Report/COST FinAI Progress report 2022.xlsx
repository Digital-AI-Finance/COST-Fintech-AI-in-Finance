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Pivot Table 2" sheetId="2" r:id="rId6"/>
    <sheet state="visible" name="All Countries" sheetId="3" r:id="rId7"/>
    <sheet state="visible" name="MembersByCountry" sheetId="4" r:id="rId8"/>
    <sheet state="visible" name="Country coordinator for Progres" sheetId="5" r:id="rId9"/>
    <sheet state="visible" name="DOIs" sheetId="6" r:id="rId10"/>
    <sheet state="visible" name="DOIs_updated_oct22" sheetId="7" r:id="rId11"/>
    <sheet state="visible" name="Research Proposals" sheetId="8" r:id="rId12"/>
    <sheet state="visible" name="updated_25oct " sheetId="9" r:id="rId13"/>
  </sheets>
  <definedNames>
    <definedName hidden="1" localSheetId="3" name="_xlnm._FilterDatabase">MembersByCountry!$D$1:$I$214</definedName>
    <definedName hidden="1" localSheetId="5" name="_xlnm._FilterDatabase">DOIs!$A$1:$A$1027</definedName>
    <definedName hidden="1" localSheetId="0" name="Z_5E9939E5_B2F7_4161_B134_781321B44BE1_.wvu.FilterData">'Form responses 1'!$B$1:$B$172</definedName>
    <definedName hidden="1" localSheetId="3" name="Z_5E9939E5_B2F7_4161_B134_781321B44BE1_.wvu.FilterData">MembersByCountry!$E$1:$E$1003</definedName>
    <definedName hidden="1" localSheetId="0" name="Z_616D44E7_2E63_4ABD_8E98_00E1C21D7BFA_.wvu.FilterData">'Form responses 1'!$A$1:$P$73</definedName>
  </definedNames>
  <calcPr/>
  <customWorkbookViews>
    <customWorkbookView activeSheetId="0" maximized="1" windowHeight="0" windowWidth="0" guid="{616D44E7-2E63-4ABD-8E98-00E1C21D7BFA}" name="Filter 2"/>
    <customWorkbookView activeSheetId="0" maximized="1" windowHeight="0" windowWidth="0" guid="{5E9939E5-B2F7-4161-B134-781321B44BE1}" name="Filter 1"/>
  </customWorkbookViews>
  <pivotCaches>
    <pivotCache cacheId="0" r:id="rId14"/>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9">
      <text>
        <t xml:space="preserve">Responder updated this value.</t>
      </text>
    </comment>
    <comment authorId="0" ref="D59">
      <text>
        <t xml:space="preserve">Responder updated this value.</t>
      </text>
    </comment>
    <comment authorId="0" ref="E59">
      <text>
        <t xml:space="preserve">Responder updated this value.</t>
      </text>
    </comment>
    <comment authorId="0" ref="O59">
      <text>
        <t xml:space="preserve">Responder updated this value.</t>
      </text>
    </comment>
    <comment authorId="0" ref="P59">
      <text>
        <t xml:space="preserve">Responder updated this value.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tc={2f94cc05-c4ae-4e3c-bed9-3a7ede38e9e2}</author>
  </authors>
  <commentList>
    <comment authorId="0" xr:uid="{2f94cc05-c4ae-4e3c-bed9-3a7ede38e9e2}" ref="A12">
      <text>
        <t xml:space="preserve">[Threaded comment]
 Your version of Excel allows you to read this threaded comment; however, any edits to it will get removed if the file is opened in a newer version of Excel. Learn more: https://go.microsoft.com/fwlink/?linkid=870924
Comment:
	Proposal funded in 2018... surely, it should not go here
</t>
      </text>
    </comment>
  </commentList>
</comments>
</file>

<file path=xl/sharedStrings.xml><?xml version="1.0" encoding="utf-8"?>
<sst xmlns="http://schemas.openxmlformats.org/spreadsheetml/2006/main" count="4457" uniqueCount="1480">
  <si>
    <t>Timestamp</t>
  </si>
  <si>
    <t>Email address</t>
  </si>
  <si>
    <t>Which country are you affiliated to? (use Switzerland instead of CH)</t>
  </si>
  <si>
    <t>Did you or your country contribute to one of the deliverables (or a closely related one)? (Indicate all, we will then follow up) (April 2020 until October 2022)</t>
  </si>
  <si>
    <t>Did you or your country contribute to one of the MoU objectives (or a closely related one)? (Indicate all, we will then follow up) (April 20 to Oct 22)</t>
  </si>
  <si>
    <t>Were you (co-) author of a COST related publication (incl. submitted pre-prints (e.g. arxiv.org))?</t>
  </si>
  <si>
    <t>Were you or your country involved in other projects resulting from Action activities? (If yes, we will follow up with more details later)</t>
  </si>
  <si>
    <t>Were you or your country involved in other outputs/ achievements resulting from Action activities? (e.g. a patent, standards, white paper)</t>
  </si>
  <si>
    <t>Did you create any other impact related to COST FinAI?</t>
  </si>
  <si>
    <t>Did you contribute to activities that are advancing the careers, skills and network of researchers, including ECIs(for example: joint supervision of graduate and PhD students, research exchanges not funded by the Action, collaborations, Training Schools with ECTS accreditation, joint projects and jobs prospects).</t>
  </si>
  <si>
    <t>Did you participate in other dissemination activities? (E.g. participation to non-Action meetings, e.g. EU Parliament, meetings with policy makers, experts in the field, regional authorities.)</t>
  </si>
  <si>
    <t>Were you involved in any other activities undertaken to ensure exploitation (use, in particular in a commercial context) of the Action's achievements.</t>
  </si>
  <si>
    <t>Score</t>
  </si>
  <si>
    <t>Which working group do you belong to?</t>
  </si>
  <si>
    <t>Anything else you think is relevant to the COST report from April 20 to Oct 22? Please add any other achievements, outcomes, cooperations, etc.</t>
  </si>
  <si>
    <t>Were you involved in any proposals/ projects?</t>
  </si>
  <si>
    <t/>
  </si>
  <si>
    <t>lleshlleshaj@feut.edu.al</t>
  </si>
  <si>
    <t>Albania</t>
  </si>
  <si>
    <t>A discussion paper for possible approaches to building a statistically valid back-testing framework, Methodological discussion paper on the design of stress tests for the evaluation of AI and ML models under shifting financial conditions to improve the robustness of models</t>
  </si>
  <si>
    <t>Significantly improve the gender equality in the fields of the Action.</t>
  </si>
  <si>
    <t>No</t>
  </si>
  <si>
    <t>Yes</t>
  </si>
  <si>
    <t>WG 1</t>
  </si>
  <si>
    <t>eliona.gremi@uniel.edu.al</t>
  </si>
  <si>
    <t>Create an excellent network of researchers in Europe with lasting collaboration beyond the lifetime of the Action., Transfer knowledge in terms of expertise, scientific tools and human resources across the different disciplines and between academia and industry.</t>
  </si>
  <si>
    <t>WG 1, WG 2, WG 3</t>
  </si>
  <si>
    <t>tidjani.chemseddine@gmail.com</t>
  </si>
  <si>
    <t>Algeria</t>
  </si>
  <si>
    <t>Disseminate to the public and share with regulators the results on investment product performance evaluation.,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t>
  </si>
  <si>
    <t>WG 2</t>
  </si>
  <si>
    <t>Cost action can be considered as a resource for diverse human capacities from all over the world.  
Cost action can establish and reinforce collaborations between Europe and TCC countries.</t>
  </si>
  <si>
    <t>ronald.hochreiter@wu.ac.at</t>
  </si>
  <si>
    <t>Austria</t>
  </si>
  <si>
    <t>Anything else useful for the COST Action, not mentioned below, An edited volume containing scientific achievements of the Action</t>
  </si>
  <si>
    <t>Anything else useful and related to the below topics, 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Disseminate to the public and share with regulators the results on investment product performance evaluation., Create an excellent network of researchers in Europe with lasting collaboration beyond the lifetime of the Action.,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Disseminate the results of the Action's activities to the scientific community, European institutions and to the general public.</t>
  </si>
  <si>
    <t>aivanisev@net.efzg.hr</t>
  </si>
  <si>
    <t>Croatia</t>
  </si>
  <si>
    <t>Anything else useful for the COST Action, not mentioned below</t>
  </si>
  <si>
    <t>Anything else useful and related to the below topics, Create an excellent network of researchers in Europe with lasting collaboration beyond the lifetime of the Action., Bridging the gap between practitioners from the finance industry, academics and regulators by setting up a common knowledge exchange platform., Disseminate the results of the Action's activities to the scientific community, European institutions and to the general public.</t>
  </si>
  <si>
    <t>WG 1, WG 3</t>
  </si>
  <si>
    <t>Organisation of a conference related to COST FinAI topics of interest, which has served as a knowledge exchange platform between researchers, practitioners and regulators</t>
  </si>
  <si>
    <t>svlahjeric@gmail.com</t>
  </si>
  <si>
    <t>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Transfer knowledge in terms of expertise, scientific tools and human resources across the different disciplines and between academia and industry.</t>
  </si>
  <si>
    <t>georgiou.i@unic.ac.cy</t>
  </si>
  <si>
    <t>Cyprus</t>
  </si>
  <si>
    <t>No, Anything else useful and related to the below topics,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Overcome the siloing of research topics by country and achieve geographical and demographical diversity, with special attention to COST Inclusiveness Target countries., Significantly improve the gender equality in the fields of the Action.</t>
  </si>
  <si>
    <t>petr.hajek@upce.cz</t>
  </si>
  <si>
    <t>Czech Republic</t>
  </si>
  <si>
    <t>luislore@ucm.es</t>
  </si>
  <si>
    <t>España</t>
  </si>
  <si>
    <t>A discussion paper for possible approaches to building a statistically valid back-testing framework</t>
  </si>
  <si>
    <t>Maximize the job opportunities for PhD students and Early Career Investigators., Disseminate the results of the Action's activities to the scientific community, European institutions and to the general public.</t>
  </si>
  <si>
    <t>laivi.laidroo@taltech.ee</t>
  </si>
  <si>
    <t>Estonia</t>
  </si>
  <si>
    <t>innar.liiv@taltech.ee</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</si>
  <si>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Transfer knowledge in terms of expertise, scientific tools and human resources across the different disciplines and between academia and industry., Overcome the siloing of research topics by country and achieve geographical and demographical diversity, with special attention to COST Inclusiveness Target countries., Disseminate the results of the Action's activities to the scientific community, European institutions and to the general public.</t>
  </si>
  <si>
    <t>WG 3</t>
  </si>
  <si>
    <t>Published a book, COST action is mentioned: https://link.springer.com/book/10.1007/978-981-16-2418-6</t>
  </si>
  <si>
    <t>roman.matkovskyy@rennes-sb.com</t>
  </si>
  <si>
    <t>France</t>
  </si>
  <si>
    <t>A database which contains data on crowdfunding/P2P platform features useful for rating platform integrity and to predict fraud, A position paper and roadmap on mitigating risks connected with the increased use of digital assets</t>
  </si>
  <si>
    <t>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Transfer knowledge in terms of expertise, scientific tools and human resources across the different disciplines and between academia and industry., Disseminate the results of the Action's activities to the scientific community, European institutions and to the general public.</t>
  </si>
  <si>
    <t>WG 1, WG 2</t>
  </si>
  <si>
    <t xml:space="preserve">rather explanation of the previous points:
databases on KIVA
Paper:  Jalan, A., Matkovskyy, R., and Poti, V. (2022). "Shall the winning last? A study of recent bubbles and persistence." Finance Research Letters 45, 102162 
Bringing technological, quantitative and economic researchers... and dissemination : the cryptocurrency investment conference jointly with WG1 meeting at Rennes School of business, April 2022
Transfer knowledge in terms of expertise...: Can I put a round table and a panel on crypto and DeFi at AFFI conference in May 2022, Saint Malo?
Other : contribution to the network extension, mentioning our COST Actions in different meetings; joint supervision of a PhD student, </t>
  </si>
  <si>
    <t>elias.tsigaridas@inria.fr</t>
  </si>
  <si>
    <t>A database which contains pre-ICO documentation and post-ICO performance (ROI and, A database which contains data on crowdfunding/P2P platform features useful for rating platform integrity and to predict fraud, Report on good examples and best practices for a transparent finance industry with guidelines to improve transparency, An internal database of collected (scraped) financial time series from exchanges and regional consolidation platforms optimised for accessibility to all partners, Key software (codes, packages) developed by each of the Working Groups in line with their objectives</t>
  </si>
  <si>
    <t>Anything else useful and related to the below topics, 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Pruning and improvement of the vast array of performance attribution models by contributing to the development of methodologies for reducing the false discovery rate in financial research and applied financial investment management.,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</si>
  <si>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haerdle@hu-berlin.de</t>
  </si>
  <si>
    <t>Germany</t>
  </si>
  <si>
    <t>Anything else useful for the COST Action, not mentioned below, A database which contains pre-ICO documentation and post-ICO performance (ROI and, Discussion papers (DP) on the methodology for evaluating/rating ICOs and crowdfunding/P2P platforms and for detection/early warning about fraud/illegal behaviour with emphasis on the application of AI tools, A position paper and roadmap on mitigating risks connected with the increased use of digital assets, A discussion paper for possible approaches to building a statistically valid back-testing framework, Position papers, aimed at regulators and policy-makers, on methodology (with examples of formal criteria) for testing AI techniques in real-time, An internal database of collected (scraped) financial time series from exchanges and regional consolidation platforms optimised for accessibility to all partners, Methodological discussion papers on AI models to generate “failed trials” of investment product producers and on quantitative strategies with the usage of the promising field of network data analysis exchanges and regional consolidation platforms optimised for accessibility to all partners, Key software (codes, packages) developed by each of the Working Groups in line with their objectives, Handbook and/or wiki page describing potential approaches to tackle risk management issues related to blockchain assets and crowdfunding/P2P lending, An edited volume containing scientific achievements of the Action</t>
  </si>
  <si>
    <t>Anything else useful and related to the below topics, 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Pruning and improvement of the vast array of performance attribution models by contributing to the development of methodologies for reducing the false discovery rate in financial research and applied financial investment management., Disseminate to the public and share with regulators the results on investment product performance evaluation., Creation of the first European platform comparing the out-of-sample performance of banks' investment products, insurance-linked investment products and asset management products available to the general public.,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Transfer knowledge in terms of expertise, scientific tools and human resources across the different disciplines and between academia and industry., Overcome the siloing of research topics by country and achieve geographical and demographical diversity, with special attention to COST Inclusiveness Target countries.,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</si>
  <si>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allapetukhina@icloud.com</t>
  </si>
  <si>
    <t>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Maximize the job opportunities for PhD students and Early Career Investigators., Significantly improve the gender equality in the fields of the Action.</t>
  </si>
  <si>
    <t>Germany (Härdle)&amp;Romania(D Pele, V Strat): Quantinar start - P2P knowledge platform supported by FinAI</t>
  </si>
  <si>
    <t>veniarakelian@yahoo.com</t>
  </si>
  <si>
    <t>Greece</t>
  </si>
  <si>
    <t>A discussion paper for possible approaches to building a statistically valid back-testing framework, Report on good examples and best practices for a transparent finance industry with guidelines to improve transparency</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</si>
  <si>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Create an excellent network of researchers in Europe with lasting collaboration beyond the lifetime of the Action.</t>
  </si>
  <si>
    <t>tolis.chal@gmail.com</t>
  </si>
  <si>
    <t>A position paper and roadmap on mitigating risks connected with the increased use of digital assets, Methodological discussion paper on the design of stress tests for the evaluation of AI and ML models under shifting financial conditions to improve the robustness of models</t>
  </si>
  <si>
    <t>Overcome the siloing of research topics by country and achieve geographical and demographical diversity, with special attention to COST Inclusiveness Target countries., Prepare competitive European researchers for a fruitful career in an international environment through intensive use of Short Term Scientific Missions (STSM) and joint educational programs with industrial partners., Maximize the job opportunities for PhD students and Early Career Investigators.</t>
  </si>
  <si>
    <t>Discussion papers (DP) on the methodology for evaluating/rating ICOs and crowdfunding/P2P platforms and for detection/early warning about fraud/illegal behaviour with emphasis on the application of AI tools, Methodological discussion paper on the design of stress tests for the evaluation of AI and ML models under shifting financial conditions to improve the robustness of models, Key software (codes, packages) developed by each of the Working Groups in line with their objectives</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</si>
  <si>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Pruning and improvement of the vast array of performance attribution models by contributing to the development of methodologies for reducing the false discovery rate in financial research and applied financial investment management., Disseminate to the public and share with regulators the results on investment product performance evaluation.,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Overcome the siloing of research topics by country and achieve geographical and demographical diversity, with special attention to COST Inclusiveness Target countries., Prepare competitive European researchers for a fruitful career in an international environment through intensive use of Short Term Scientific Missions (STSM) and joint educational programs with industrial partners., Maximize the job opportunities for PhD students and Early Career Investigators., Disseminate the results of the Action's activities to the scientific community, European institutions and to the general public.</t>
  </si>
  <si>
    <t>Close collaboration with Currency Research https://www.linkedin.com/company/currencyresearch/</t>
  </si>
  <si>
    <t>trimborn.econometrics@gmail.com</t>
  </si>
  <si>
    <t>Hong Kong</t>
  </si>
  <si>
    <t>Anything else useful for the COST Action, not mentioned below, Key software (codes, packages) developed by each of the Working Groups in line with their objectives</t>
  </si>
  <si>
    <t>Anything else useful and related to the below topics, 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Create an excellent network of researchers in Europe with lasting collaboration beyond the lifetime of the Action.</t>
  </si>
  <si>
    <t>molnarba@inf.elte.hu</t>
  </si>
  <si>
    <t>Hungary</t>
  </si>
  <si>
    <t>The development of conceptual and methodological tools for establishing when blackbox models are admissible and, to the extent possible, making them more transparent and/or replacing them with interpretable and explainable models., Bridging the gap between practitioners from the finance industry, academics and regulators by setting up a common knowledge exchange platform., Significantly improve the gender equality in the fields of the Action.</t>
  </si>
  <si>
    <t>To receive input from regulators and practitioners' communities and to validate results with regard to increasing transparency of artificial intelligence applications., Disseminate to the public and share with regulators the results on investment product performance evaluation.,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</si>
  <si>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rupelnargunam25@gmail.com</t>
  </si>
  <si>
    <t>India</t>
  </si>
  <si>
    <t>A discussion paper on market risk modeling, analysis and management, contributing to the methodological discussion section on risk measures and time series approaches used to obtain forecasts of risk measures.</t>
  </si>
  <si>
    <t>Anything else useful and related to the below topics</t>
  </si>
  <si>
    <t>Presented research paper in Women in Fintech Conference organized by Fintech and Artificial Intelligence in Finance and European Cooperation in Science and Technology (COST), during 22nd - 23rd September 2021.</t>
  </si>
  <si>
    <t>valerio.poti@ucd.ie</t>
  </si>
  <si>
    <t>Ireland</t>
  </si>
  <si>
    <t>A discussion paper for possible approaches to building a statistically valid back-testing framework, Methodological discussion paper on the design of stress tests for the evaluation of AI and ML models under shifting financial conditions to improve the robustness of models, Key software (codes, packages) developed by each of the Working Groups in line with their objectives</t>
  </si>
  <si>
    <t>To receive input from regulators and practitioners' communities and to validate results with regard to increasing transparency of artificial intelligence applications., Pruning and improvement of the vast array of performance attribution models by contributing to the development of methodologies for reducing the false discovery rate in financial research and applied financial investment management.,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Establish an inclusive community of researchers on methodological and technological themes in Machine Learning and Artificial Intelligence, to promote Early Career Investigators and increase their visibility., Disseminate the results of the Action's activities to the scientific community, European institutions and to the general public., Significantly improve the gender equality in the fields of the Action.</t>
  </si>
  <si>
    <t>vassilios.papavassiliou@ucd.ie</t>
  </si>
  <si>
    <t>A discussion paper on sovereign bond return predictability using machine learning methods</t>
  </si>
  <si>
    <t>Disseminate to the public and share with regulators the results on investment product performance evaluation., Disseminate the results of the Action's activities to the scientific community, European institutions and to the general public.</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</si>
  <si>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Pruning and improvement of the vast array of performance attribution models by contributing to the development of methodologies for reducing the false discovery rate in financial research and applied financial investment management., Disseminate the results of the Action's activities to the scientific community, European institutions and to the general public., Significantly improve the gender equality in the fields of the Action.</t>
  </si>
  <si>
    <t>alessandra.tanda@unipv.it</t>
  </si>
  <si>
    <t>Italy</t>
  </si>
  <si>
    <t>Anything else useful for the COST Action, not mentioned below, An internal database of collected (scraped) financial time series from exchanges and regional consolidation platforms optimised for accessibility to all partners, Strategy to engage stakeholders in the Action (including revisions in month 24 and 36)</t>
  </si>
  <si>
    <t>Disseminate to the public and share with regulators the results on investment product performance evaluation., Create an excellent network of researchers in Europe with lasting collaboration beyond the lifetime of the Action., Transfer knowledge in terms of expertise, scientific tools and human resources across the different disciplines and between academia and industry., Maximize the job opportunities for PhD students and Early Career Investigators., Significantly improve the gender equality in the fields of the Action.</t>
  </si>
  <si>
    <t>daniele.marazzina@polimi.it</t>
  </si>
  <si>
    <t>Anything else useful for the COST Action, not mentioned below, A database which contains pre-ICO documentation and post-ICO performance (ROI and, A database which contains data on crowdfunding/P2P platform features useful for rating platform integrity and to predict fraud</t>
  </si>
  <si>
    <t>Create an excellent network of researchers in Europe with lasting collaboration beyond the lifetime of the Action., Transfer knowledge in terms of expertise, scientific tools and human resources across the different disciplines and between academia and industry., Disseminate the results of the Action's activities to the scientific community, European institutions and to the general public., Significantly improve the gender equality in the fields of the Action.</t>
  </si>
  <si>
    <t>Anything else useful and related to the below topics, Create an excellent network of researchers in Europe with lasting collaboration beyond the lifetime of the Action., Bridging the gap between practitioners from the finance industry, academics and regulators by setting up a common knowledge exchange platform.,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</si>
  <si>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maria.iannario@unina.it</t>
  </si>
  <si>
    <t>Disseminate to the public and share with regulators the results on investment product performance evaluation., Create an excellent network of researchers in Europe with lasting collaboration beyond the lifetime of the Action.,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Overcome the siloing of research topics by country and achieve geographical and demographical diversity, with special attention to COST Inclusiveness Target countries.,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</si>
  <si>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Women in Fintech Datathon is a data mining event (data analysis) organized by the Women in Fintech Conference Committee represented by several researchers of the Cost Action FinAI CA19130, University of Tirana and University of Naples Federico II (for more details, please see the following link: https://fin-ai.eu/datathon/). It aims to promote the analysis of data on the goals of the Women in Fintech II Conference, and more general in the field of the FinAI Action. Among the main topics to be developed by means of (open access and real) data analysis: Gender diversity in Fintech corporate world, Fintech gender diversity in different EU countries, Gender pay gap in Fintech roles. It involves teams from every European country. The team should be made up of maximum 5 members (male or female), which can be enrolled in bachelor, master or PhD programmes. High-performing teams are composed of individuals with specialized expertise and complementary skills. It creates cooperation and improves qualification of next generation.</t>
  </si>
  <si>
    <t>rr@lu.lv</t>
  </si>
  <si>
    <t>Latvia</t>
  </si>
  <si>
    <t>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Transfer knowledge in terms of expertise, scientific tools and human resources across the different disciplines and between academia and industry., Prepare competitive European researchers for a fruitful career in an international environment through intensive use of Short Term Scientific Missions (STSM) and joint educational programs with industrial partners., Disseminate the results of the Action's activities to the scientific community, European institutions and to the general public.</t>
  </si>
  <si>
    <t>audkaba@ktu.lt</t>
  </si>
  <si>
    <t>Lithuania</t>
  </si>
  <si>
    <t>Methodological discussion papers on AI models to generate “failed trials” of investment product producers and on quantitative strategies with the usage of the promising field of network data analysis exchanges and regional consolidation platforms optimised for accessibility to all partners</t>
  </si>
  <si>
    <t>Pruning and improvement of the vast array of performance attribution models by contributing to the development of methodologies for reducing the false discovery rate in financial research and applied financial investment management., Disseminate to the public and share with regulators the results on investment product performance evaluation., Disseminate the results of the Action's activities to the scientific community, European institutions and to the general public.</t>
  </si>
  <si>
    <t>kristina.sutiene@ktu.lt</t>
  </si>
  <si>
    <t>Report on good examples and best practices for a transparent finance industry with guidelines to improve transparency</t>
  </si>
  <si>
    <t>A reviewer in TINFIN conference https://sites.google.com/net.efzg.hr/tinfinconference/home/programme-committee</t>
  </si>
  <si>
    <t>Methodological discussion paper on the design of stress tests for the evaluation of AI and ML models under shifting financial conditions to improve the robustness of models, Report on good examples and best practices for a transparent finance industry with guidelines to improve transparency</t>
  </si>
  <si>
    <t>The development of conceptual and methodological tools for establishing when blackbox models are admissible and, to the extent possible, making them more transparent and/or replacing them with interpretable and explainable models., Disseminate to the public and share with regulators the results on investment product performance evaluation., Create an excellent network of researchers in Europe with lasting collaboration beyond the lifetime of the Action.,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Prepare competitive European researchers for a fruitful career in an international environment through intensive use of Short Term Scientific Missions (STSM) and joint educational programs with industrial partners., Disseminate the results of the Action's activities to the scientific community, European institutions and to the general public.</t>
  </si>
  <si>
    <t>Network expansion performed</t>
  </si>
  <si>
    <t>angele@acrosslimits.com</t>
  </si>
  <si>
    <t>Malta</t>
  </si>
  <si>
    <t>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t>
  </si>
  <si>
    <t>We are trying to form consortia for various European proposals for funding and involving other partners of the Cost Action</t>
  </si>
  <si>
    <t>dbevan@stmartins.edu</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</si>
  <si>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Create an excellent network of researchers in Europe with lasting collaboration beyond the lifetime of the Action., Transfer knowledge in terms of expertise, scientific tools and human resources across the different disciplines and between academia and industry., Overcome the siloing of research topics by country and achieve geographical and demographical diversity, with special attention to COST Inclusiveness Target countries., Disseminate the results of the Action's activities to the scientific community, European institutions and to the general public.</t>
  </si>
  <si>
    <t>1. Significant contribution in 2022 through publication and conference presentations (ISBEE July 2022) to making academic / professional business-ethics community aware of prevalent current ethical attitudes (and discourses/contexts) operating in the Fintech community with particular reference to  (i) the potentially dysfunctional application of 'black box' amorality and as contrasted with the complexity  (ii) 'all tech is human'.
2. Acting as deputy network co-ordinator to support the continuing energy in the Action and both its longevity and interdisciplinary interactions, by improving professional and scholarly understanding and communication of AI ethics.</t>
  </si>
  <si>
    <t>lameski@finki.ukim.mk</t>
  </si>
  <si>
    <t>N. Macedonia</t>
  </si>
  <si>
    <t>Discussion papers (DP) on the methodology for evaluating/rating ICOs and crowdfunding/P2P platforms and for detection/early warning about fraud/illegal behaviour with emphasis on the application of AI tools, A position paper and roadmap on mitigating risks connected with the increased use of digital assets, A discussion paper for possible approaches to building a statistically valid back-testing framework, Position papers, aimed at regulators and policy-makers, on methodology (with examples of formal criteria) for testing AI techniques in real-time, Report on good examples and best practices for a transparent finance industry with guidelines to improve transparency</t>
  </si>
  <si>
    <t>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Disseminate to the public and share with regulators the results on investment product performance evaluation.,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Establish an inclusive community of researchers on methodological and technological themes in Machine Learning and Artificial Intelligence, to promote Early Career Investigators and increase their visibility., Disseminate the results of the Action's activities to the scientific community, European institutions and to the general public.</t>
  </si>
  <si>
    <t>r.j.kleverlaan@uu.nl</t>
  </si>
  <si>
    <t>Netherlands</t>
  </si>
  <si>
    <t>Anything else useful for the COST Action, not mentioned below, Strategy to engage stakeholders in the Action (including revisions in month 24 and 36)</t>
  </si>
  <si>
    <t>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Overcome the siloing of research topics by country and achieve geographical and demographical diversity, with special attention to COST Inclusiveness Target countries., Disseminate the results of the Action's activities to the scientific community, European institutions and to the general public.</t>
  </si>
  <si>
    <t>olivijaf@gmail.com</t>
  </si>
  <si>
    <t>North Macedonia</t>
  </si>
  <si>
    <t>To receive input from regulators and practitioners' communities and to validate results with regard to increasing transparency of artificial intelligence applications., Create an excellent network of researchers in Europe with lasting collaboration beyond the lifetime of the Action., Bridging the gap between practitioners from the finance industry, academics and regulators by setting up a common knowledge exchange platform., Establish an inclusive community of researchers on methodological and technological themes in Machine Learning and Artificial Intelligence, to promote Early Career Investigators and increase their visibility., Overcome the siloing of research topics by country and achieve geographical and demographical diversity, with special attention to COST Inclusiveness Target countries., Prepare competitive European researchers for a fruitful career in an international environment through intensive use of Short Term Scientific Missions (STSM) and joint educational programs with industrial partners.,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</si>
  <si>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rita.pimentel@ntnu.no</t>
  </si>
  <si>
    <t>Norway</t>
  </si>
  <si>
    <t>Position papers, aimed at regulators and policy-makers, on methodology (with examples of formal criteria) for testing AI techniques in real-time</t>
  </si>
  <si>
    <t>Create an excellent network of researchers in Europe with lasting collaboration beyond the lifetime of the Action., Significantly improve the gender equality in the fields of the Action.</t>
  </si>
  <si>
    <t>kbolesta96@gmail.com</t>
  </si>
  <si>
    <t>Poland</t>
  </si>
  <si>
    <t>Anything else useful for the COST Action, not mentioned below, Methodological discussion papers on AI models to generate “failed trials” of investment product producers and on quantitative strategies with the usage of the promising field of network data analysis exchanges and regional consolidation platforms optimised for accessibility to all partners, Strategy to engage stakeholders in the Action (including revisions in month 24 and 36)</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</si>
  <si>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To receive input from regulators and practitioners' communities and to validate results with regard to increasing transparency of artificial intelligence applications., Significantly improve the gender equality in the fields of the Action.</t>
  </si>
  <si>
    <t>pwojcik@wne.uw.edu.pl</t>
  </si>
  <si>
    <t>Anything else useful for the COST Action, not mentioned below, Discussion papers (DP) on the methodology for evaluating/rating ICOs and crowdfunding/P2P platforms and for detection/early warning about fraud/illegal behaviour with emphasis on the application of AI tools</t>
  </si>
  <si>
    <t>The development of conceptual and methodological tools for establishing when blackbox models are admissible and, to the extent possible, making them more transparent and/or replacing them with interpretable and explainable models., Transfer knowledge in terms of expertise, scientific tools and human resources across the different disciplines and between academia and industry., Disseminate the results of the Action's activities to the scientific community, European institutions and to the general public., Significantly improve the gender equality in the fields of the Action.</t>
  </si>
  <si>
    <t>WG 2, WG 3</t>
  </si>
  <si>
    <t>catarina@dei.uc.pt</t>
  </si>
  <si>
    <t>Portugal</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</si>
  <si>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Disseminate the results of the Action's activities to the scientific community, European institutions and to the general public.</t>
  </si>
  <si>
    <t>Create an excellent network of researchers in Europe with lasting collaboration beyond the lifetime of the Action., Disseminate the results of the Action's activities to the scientific community, European institutions and to the general public.</t>
  </si>
  <si>
    <t>albulena.shala@uni-pr.edu</t>
  </si>
  <si>
    <t>Republic of Kosovo</t>
  </si>
  <si>
    <t>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Prepare competitive European researchers for a fruitful career in an international environment through intensive use of Short Term Scientific Missions (STSM) and joint educational programs with industrial partners., Significantly improve the gender equality in the fields of the Action.</t>
  </si>
  <si>
    <t>Thank you for this excellent opportunity. We have created new opportunities for collaboration with colleagues from other countries, new knowledge and practices. I hope that Kosovo will be a part of COST action one day.</t>
  </si>
  <si>
    <t>coita.iflorina@gmail.com</t>
  </si>
  <si>
    <t>Romania</t>
  </si>
  <si>
    <t>Discussion papers (DP) on the methodology for evaluating/rating ICOs and crowdfunding/P2P platforms and for detection/early warning about fraud/illegal behaviour with emphasis on the application of AI tools, An internal database of collected (scraped) financial time series from exchanges and regional consolidation platforms optimised for accessibility to all partners, Key software (codes, packages) developed by each of the Working Groups in line with their objectives</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</si>
  <si>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To receive input from regulators and practitioners' communities and to validate results with regard to increasing transparency of artificial intelligence applications.,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Disseminate the results of the Action's activities to the scientific community, European institutions and to the general public., Significantly improve the gender equality in the fields of the Action.</t>
  </si>
  <si>
    <t>writing joint papers and European funded projects</t>
  </si>
  <si>
    <t>stefana.cioban@ubbcluj.ro</t>
  </si>
  <si>
    <t>Key software (codes, packages) developed by each of the Working Groups in line with their objectives</t>
  </si>
  <si>
    <t>Create an excellent network of researchers in Europe with lasting collaboration beyond the lifetime of the Action., Establish an inclusive community of researchers on methodological and technological themes in Machine Learning and Artificial Intelligence, to promote Early Career Investigators and increase their visibility., Overcome the siloing of research topics by country and achieve geographical and demographical diversity, with special attention to COST Inclusiveness Target countries.,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</si>
  <si>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So far, I have contributed to the literature review on sentiment analysis in finance within the Working Group 2, with focus on the Romanian and English languages. Also, I have co-authored the paper "Is Trust a Valid Indicator of Tax Compliance Behaviour? A Study on Taxpayers’ Public Perception Using Sentiment Analysis Tool" which was presented in the 4th International Conference on Economics and Social Sciences and published in the corresponding Conference Proceedings volume.</t>
  </si>
  <si>
    <t>codruta.mare@gmail.com</t>
  </si>
  <si>
    <t>Discussion papers (DP) on the methodology for evaluating/rating ICOs and crowdfunding/P2P platforms and for detection/early warning about fraud/illegal behaviour with emphasis on the application of AI tools, Report on good examples and best practices for a transparent finance industry with guidelines to improve transparency, Four annual reports (for lay audience) distributed via local and national media, Key software (codes, packages) developed by each of the Working Groups in line with their objectives, Strategy to engage stakeholders in the Action (including revisions in month 24 and 36)</t>
  </si>
  <si>
    <t>To receive input from regulators and practitioners' communities and to validate results with regard to increasing transparency of artificial intelligence applications., Disseminate to the public and share with regulators the results on investment product performance evaluation.,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Overcome the siloing of research topics by country and achieve geographical and demographical diversity, with special attention to COST Inclusiveness Target countries., Prepare competitive European researchers for a fruitful career in an international environment through intensive use of Short Term Scientific Missions (STSM) and joint educational programs with industrial partners.,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</si>
  <si>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Yes, applications for joint research with FinTech sector</t>
  </si>
  <si>
    <t>First national report on the Romanian FinTech sector</t>
  </si>
  <si>
    <t>Cooperation with stakeholders for research applications, First Romanian FinTech Sector report, adding new members to the Action, co-authored papers, supervision of deliverables</t>
  </si>
  <si>
    <t>danpele@ase.ro</t>
  </si>
  <si>
    <t>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Disseminate to the public and share with regulators the results on investment product performance evaluation., Create an excellent network of researchers in Europe with lasting collaboration beyond the lifetime of the Action.,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Disseminate the results of the Action's activities to the scientific community, European institutions and to the general public.</t>
  </si>
  <si>
    <t>ciprian.sipos@e-uvt.ro</t>
  </si>
  <si>
    <t>Anything else useful for the COST Action, not mentioned below, A database which contains pre-ICO documentation and post-ICO performance (ROI and, A database which contains data on crowdfunding/P2P platform features useful for rating platform integrity and to predict fraud, Discussion papers (DP) on the methodology for evaluating/rating ICOs and crowdfunding/P2P platforms and for detection/early warning about fraud/illegal behaviour with emphasis on the application of AI tools, A position paper and roadmap on mitigating risks connected with the increased use of digital assets, A discussion paper for possible approaches to building a statistically valid back-testing framework, Methodological discussion paper on the design of stress tests for the evaluation of AI and ML models under shifting financial conditions to improve the robustness of models, Position papers, aimed at regulators and policy-makers, on methodology (with examples of formal criteria) for testing AI techniques in real-time, Report on good examples and best practices for a transparent finance industry with guidelines to improve transparency, An internal database of collected (scraped) financial time series from exchanges and regional consolidation platforms optimised for accessibility to all partners, Methodological discussion papers on AI models to generate “failed trials” of investment product producers and on quantitative strategies with the usage of the promising field of network data analysis exchanges and regional consolidation platforms optimised for accessibility to all partners, Four annual reports (for lay audience) distributed via local and national media, Key software (codes, packages) developed by each of the Working Groups in line with their objectives, Handbook and/or wiki page describing potential approaches to tackle risk management issues related to blockchain assets and crowdfunding/P2P lending, An edited volume containing scientific achievements of the Action, Strategy to engage stakeholders in the Action (including revisions in month 24 and 36)</t>
  </si>
  <si>
    <t>Anything else useful and related to the below topics, 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Pruning and improvement of the vast array of performance attribution models by contributing to the development of methodologies for reducing the false discovery rate in financial research and applied financial investment management., Disseminate to the public and share with regulators the results on investment product performance evaluation., Creation of the first European platform comparing the out-of-sample performance of banks' investment products, insurance-linked investment products and asset management products available to the general public.,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Overcome the siloing of research topics by country and achieve geographical and demographical diversity, with special attention to COST Inclusiveness Target countries., Prepare competitive European researchers for a fruitful career in an international environment through intensive use of Short Term Scientific Missions (STSM) and joint educational programs with industrial partners.,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</si>
  <si>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A database which contains data on crowdfunding/P2P platform features useful for rating platform integrity and to predict fraud, Discussion papers (DP) on the methodology for evaluating/rating ICOs and crowdfunding/P2P platforms and for detection/early warning about fraud/illegal behaviour with emphasis on the application of AI tools, Report on good examples and best practices for a transparent finance industry with guidelines to improve transparency, Key software (codes, packages) developed by each of the Working Groups in line with their objectives, Strategy to engage stakeholders in the Action (including revisions in month 24 and 36)</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</si>
  <si>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Transfer knowledge in terms of expertise, scientific tools and human resources across the different disciplines and between academia and industry., Overcome the siloing of research topics by country and achieve geographical and demographical diversity, with special attention to COST Inclusiveness Target countries.,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</si>
  <si>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Cooperation with Finech companies on developing AI tools for fraud detection</t>
  </si>
  <si>
    <t>miljan.vucetic@vlatacom.com</t>
  </si>
  <si>
    <t>Serbia</t>
  </si>
  <si>
    <t>Methodological discussion paper on the design of stress tests for the evaluation of AI and ML models under shifting financial conditions to improve the robustness of models, Methodological discussion papers on AI models to generate “failed trials” of investment product producers and on quantitative strategies with the usage of the promising field of network data analysis exchanges and regional consolidation platforms optimised for accessibility to all partners, Key software (codes, packages) developed by each of the Working Groups in line with their objectives</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</si>
  <si>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t>
  </si>
  <si>
    <t>denis.trcek@guest.arnes.si</t>
  </si>
  <si>
    <t>Slovenia</t>
  </si>
  <si>
    <t>Anything else useful and related to the below topics, The development of conceptual and methodological tools for establishing when blackbox models are admissible and, to the extent possible, making them more transparent and/or replacing them with interpretable and explainable models.</t>
  </si>
  <si>
    <t>Thank you for all the excellent coordiantion of this large network.</t>
  </si>
  <si>
    <t>saso.karakatic@um.si</t>
  </si>
  <si>
    <t>The development of conceptual and methodological tools for establishing when blackbox models are admissible and, to the extent possible, making them more transparent and/or replacing them with interpretable and explainable models., Significantly improve the gender equality in the fields of the Action.</t>
  </si>
  <si>
    <t>javier.arroyo@fdi.ucm.es</t>
  </si>
  <si>
    <t>Spain</t>
  </si>
  <si>
    <t>No, The development of conceptual and methodological tools for establishing when blackbox models are admissible and, to the extent possible, making them more transparent and/or replacing them with interpretable and explainable models., Establish an inclusive community of researchers on methodological and technological themes in Machine Learning and Artificial Intelligence, to promote Early Career Investigators and increase their visibility.</t>
  </si>
  <si>
    <t>brankahm@gmail.com</t>
  </si>
  <si>
    <t>Switzerland</t>
  </si>
  <si>
    <t>A database which contains data on crowdfunding/P2P platform features useful for rating platform integrity and to predict fraud, Discussion papers (DP) on the methodology for evaluating/rating ICOs and crowdfunding/P2P platforms and for detection/early warning about fraud/illegal behaviour with emphasis on the application of AI tools, Key software (codes, packages) developed by each of the Working Groups in line with their objectives, An edited volume containing scientific achievements of the Action, Strategy to engage stakeholders in the Action (including revisions in month 24 and 36)</t>
  </si>
  <si>
    <t>The development of conceptual and methodological tools for establishing when blackbox models are admissible and, to the extent possible, making them more transparent and/or replacing them with interpretable and explainable models.,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Disseminate the results of the Action's activities to the scientific community, European institutions and to the general public., Significantly improve the gender equality in the fields of the Action.</t>
  </si>
  <si>
    <t>A database which contains data on crowdfunding/P2P platform features useful for rating platform integrity and to predict fraud, Discussion papers (DP) on the methodology for evaluating/rating ICOs and crowdfunding/P2P platforms and for detection/early warning about fraud/illegal behaviour with emphasis on the application of AI tools, Report on good examples and best practices for a transparent finance industry with guidelines to improve transparency, Four annual reports (for lay audience) distributed via local and national media, Key software (codes, packages) developed by each of the Working Groups in line with their objectives, Handbook and/or wiki page describing potential approaches to tackle risk management issues related to blockchain assets and crowdfunding/P2P lending, An edited volume containing scientific achievements of the Action</t>
  </si>
  <si>
    <t>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Disseminate to the public and share with regulators the results on investment product performance evaluation., Create an excellent network of researchers in Europe with lasting collaboration beyond the lifetime of the Action.,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Disseminate the results of the Action's activities to the scientific community, European institutions and to the general public., Significantly improve the gender equality in the fields of the Action.</t>
  </si>
  <si>
    <t>scwp@zhaw.ch</t>
  </si>
  <si>
    <t>CH</t>
  </si>
  <si>
    <t>Anything else useful for the COST Action, not mentioned below, A discussion paper for possible approaches to building a statistically valid back-testing framework, Report on good examples and best practices for a transparent finance industry with guidelines to improve transparency, Key software (codes, packages) developed by each of the Working Groups in line with their objectives</t>
  </si>
  <si>
    <t>Anything else useful and related to the below topics, The development of conceptual and methodological tools for establishing when blackbox models are admissible and, to the extent possible, making them more transparent and/or replacing them with interpretable and explainable models., Pruning and improvement of the vast array of performance attribution models by contributing to the development of methodologies for reducing the false discovery rate in financial research and applied financial investment management., Disseminate to the public and share with regulators the results on investment product performance evaluation.,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Prepare competitive European researchers for a fruitful career in an international environment through intensive use of Short Term Scientific Missions (STSM) and joint educational programs with industrial partners., Maximize the job opportunities for PhD students and Early Career Investigators., Disseminate the results of the Action's activities to the scientific community, European institutions and to the general public.</t>
  </si>
  <si>
    <t xml:space="preserve">Papers acknowledging the action: 2 published in JFDS, 1 SUERF policy brief.
Special issue on MDPI Mathematics https://www.mdpi.com/journal/mathematics/special_issues/applications_mathematical_foundations_machine_learning_investments
Conferences acknowledging the action: three instances of the conference in Winterthur on AI in industry and finance (2020, 2021, 2022); special session at EURO2022 in July 2022 in Espoo and onsite WG3 and core group meeting in Espoo.
Contributed to summer training school in Constanta / Romania </t>
  </si>
  <si>
    <t>josterri@googlemail.com</t>
  </si>
  <si>
    <t>Strategy to engage stakeholders in the Action (including revisions in month 24 and 36)</t>
  </si>
  <si>
    <t>lbarjaktarovic@singidunum.ac.rs</t>
  </si>
  <si>
    <t>Report on good examples and best practices for a transparent finance industry with guidelines to improve transparency, Handbook and/or wiki page describing potential approaches to tackle risk management issues related to blockchain assets and crowdfunding/P2P lending, Strategy to engage stakeholders in the Action (including revisions in month 24 and 36)</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</si>
  <si>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Disseminate to the public and share with regulators the results on investment product performance evaluation., Create an excellent network of researchers in Europe with lasting collaboration beyond the lifetime of the Action., Maximize the job opportunities for PhD students and Early Career Investigators., Disseminate the results of the Action's activities to the scientific community, European institutions and to the general public.</t>
  </si>
  <si>
    <t xml:space="preserve">I have become independent supervisory board member of UniCredit Bank Serbia - Belgrade. </t>
  </si>
  <si>
    <t>No, Anything else useful for the COST Action, not mentioned below</t>
  </si>
  <si>
    <t>heb1@bfh.ch</t>
  </si>
  <si>
    <t xml:space="preserve">Switzerland </t>
  </si>
  <si>
    <t>A database which contains data on crowdfunding/P2P platform features useful for rating platform integrity and to predict fraud, Discussion papers (DP) on the methodology for evaluating/rating ICOs and crowdfunding/P2P platforms and for detection/early warning about fraud/illegal behaviour with emphasis on the application of AI tools, Report on good examples and best practices for a transparent finance industry with guidelines to improve transparency</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</si>
  <si>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Pruning and improvement of the vast array of performance attribution models by contributing to the development of methodologies for reducing the false discovery rate in financial research and applied financial investment management., Disseminate to the public and share with regulators the results on investment product performance evaluation.,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Overcome the siloing of research topics by country and achieve geographical and demographical diversity, with special attention to COST Inclusiveness Target countries., Disseminate the results of the Action's activities to the scientific community, European institutions and to the general public.</t>
  </si>
  <si>
    <t>belma.ozturkkal@khas.edu.tr</t>
  </si>
  <si>
    <t>Turkey</t>
  </si>
  <si>
    <t>Position papers, aimed at regulators and policy-makers, on methodology (with examples of formal criteria) for testing AI techniques in real-time, Report on good examples and best practices for a transparent finance industry with guidelines to improve transparency</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</si>
  <si>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To receive input from regulators and practitioners' communities and to validate results with regard to increasing transparency of artificial intelligence applications., Disseminate to the public and share with regulators the results on investment product performance evaluation., Creation of the first European platform comparing the out-of-sample performance of banks' investment products, insurance-linked investment products and asset management products available to the general public.,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Disseminate the results of the Action's activities to the scientific community, European institutions and to the general public., Significantly improve the gender equality in the fields of the Action.</t>
  </si>
  <si>
    <t>etalasli@selcuk.edu.tr</t>
  </si>
  <si>
    <t>Disseminate the results of the Action's activities to the scientific community, European institutions and to the general public., Significantly improve the gender equality in the fields of the Action.</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</si>
  <si>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To receive input from regulators and practitioners' communities and to validate results with regard to increasing transparency of artificial intelligence applications., Disseminate to the public and share with regulators the results on investment product performance evaluation., Create an excellent network of researchers in Europe with lasting collaboration beyond the lifetime of the Action.,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</si>
  <si>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Discussion papers (DP) on the methodology for evaluating/rating ICOs and crowdfunding/P2P platforms and for detection/early warning about fraud/illegal behaviour with emphasis on the application of AI tools, A discussion paper for possible approaches to building a statistically valid back-testing framework, Methodological discussion paper on the design of stress tests for the evaluation of AI and ML models under shifting financial conditions to improve the robustness of models, Report on good examples and best practices for a transparent finance industry with guidelines to improve transparency</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</si>
  <si>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Pruning and improvement of the vast array of performance attribution models by contributing to the development of methodologies for reducing the false discovery rate in financial research and applied financial investment management., Disseminate to the public and share with regulators the results on investment product performance evaluation., Creation of the first European platform comparing the out-of-sample performance of banks' investment products, insurance-linked investment products and asset management products available to the general public.,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Overcome the siloing of research topics by country and achieve geographical and demographical diversity, with special attention to COST Inclusiveness Target countries., Prepare competitive European researchers for a fruitful career in an international environment through intensive use of Short Term Scientific Missions (STSM) and joint educational programs with industrial partners., Disseminate the results of the Action's activities to the scientific community, European institutions and to the general public., Significantly improve the gender equality in the fields of the Action.</t>
  </si>
  <si>
    <t>luciana.dallavalle@plymouth.ac.uk</t>
  </si>
  <si>
    <t>United Kingdom</t>
  </si>
  <si>
    <t>The development of conceptual and methodological tools for establishing when blackbox models are admissible and, to the extent possible, making them more transparent and/or replacing them with interpretable and explainable models., Create an excellent network of researchers in Europe with lasting collaboration beyond the lifetime of the Action., Overcome the siloing of research topics by country and achieve geographical and demographical diversity, with special attention to COST Inclusiveness Target countries., Significantly improve the gender equality in the fields of the Action.</t>
  </si>
  <si>
    <t>a.zalewska@bath.ac.uk</t>
  </si>
  <si>
    <t>Anything else useful for the COST Action, not mentioned below, A position paper and roadmap on mitigating risks connected with the increased use of digital assets</t>
  </si>
  <si>
    <t>Anything else useful and related to the below topics, Transfer knowledge in terms of expertise, scientific tools and human resources across the different disciplines and between academia and industry., Disseminate the results of the Action's activities to the scientific community, European institutions and to the general public.</t>
  </si>
  <si>
    <t>CathyYi-Hsuan.Chen@glasgow.ac.uk</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</si>
  <si>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Create an excellent network of researchers in Europe with lasting collaboration beyond the lifetime of the Action., Bridging the gap between practitioners from the finance industry, academics and regulators by setting up a common knowledge exchange platform.</t>
  </si>
  <si>
    <t>sam.goundar@gmail.com</t>
  </si>
  <si>
    <t>Vietnam</t>
  </si>
  <si>
    <t>Discussion papers (DP) on the methodology for evaluating/rating ICOs and crowdfunding/P2P platforms and for detection/early warning about fraud/illegal behaviour with emphasis on the application of AI tools, Methodological discussion papers on AI models to generate “failed trials” of investment product producers and on quantitative strategies with the usage of the promising field of network data analysis exchanges and regional consolidation platforms optimised for accessibility to all partners, Handbook and/or wiki page describing potential approaches to tackle risk management issues related to blockchain assets and crowdfunding/P2P lending</t>
  </si>
  <si>
    <t>No,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Maximize the job opportunities for PhD students and Early Career Investigators., Significantly improve the gender equality in the fields of the Action.</t>
  </si>
  <si>
    <t>Methodological discussion paper on the design of stress tests for the evaluation of AI and ML models under shifting financial conditions to improve the robustness of models, Key software (codes, packages) developed by each of the Working Groups in line with their objectives</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</si>
  <si>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Pruning and improvement of the vast array of performance attribution models by contributing to the development of methodologies for reducing the false discovery rate in financial research and applied financial investment management., Disseminate to the public and share with regulators the results on investment product performance evaluation.,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Disseminate the results of the Action's activities to the scientific community, European institutions and to the general public.</t>
  </si>
  <si>
    <t>baalsl@tcd.ie</t>
  </si>
  <si>
    <t>A discussion paper raising new research ideas on the financial economics of non-fungible token (NFT) in form of a research agenda</t>
  </si>
  <si>
    <t>WG1, WG3</t>
  </si>
  <si>
    <t>COUNTA of Email address</t>
  </si>
  <si>
    <t>Grand Total</t>
  </si>
  <si>
    <t>Responded to GP1 GP2 report</t>
  </si>
  <si>
    <t>Belgium</t>
  </si>
  <si>
    <t>Bosnia and Herzegovina</t>
  </si>
  <si>
    <t>Bulgaria</t>
  </si>
  <si>
    <t>Denmark</t>
  </si>
  <si>
    <t>Finland</t>
  </si>
  <si>
    <t>Georgia</t>
  </si>
  <si>
    <t>Iceland</t>
  </si>
  <si>
    <t>Luxembourg</t>
  </si>
  <si>
    <t>Moldova</t>
  </si>
  <si>
    <t>Montenegro</t>
  </si>
  <si>
    <t>Slovakia</t>
  </si>
  <si>
    <t>Sweden</t>
  </si>
  <si>
    <t xml:space="preserve">COST FinAI </t>
  </si>
  <si>
    <t>Last Name</t>
  </si>
  <si>
    <t>Email</t>
  </si>
  <si>
    <t>Country</t>
  </si>
  <si>
    <t>MC Membership Status</t>
  </si>
  <si>
    <t>responded to GP 1 and GP 2 Progress report</t>
  </si>
  <si>
    <t>Petraq</t>
  </si>
  <si>
    <t>Papajorgji</t>
  </si>
  <si>
    <t>petraq@gmail.com</t>
  </si>
  <si>
    <t>Albania (AL)</t>
  </si>
  <si>
    <t>not nominated</t>
  </si>
  <si>
    <t>Altin</t>
  </si>
  <si>
    <t>Idrizi</t>
  </si>
  <si>
    <t>altin.idrizi@uniel.edu.al</t>
  </si>
  <si>
    <t>Endrit</t>
  </si>
  <si>
    <t>Xhina</t>
  </si>
  <si>
    <t>endri.xhina@fshn.edu.al</t>
  </si>
  <si>
    <t>Rezarta</t>
  </si>
  <si>
    <t>Shkurti (Perri)</t>
  </si>
  <si>
    <t>rezartaperri@feut.edu.al</t>
  </si>
  <si>
    <t>Member</t>
  </si>
  <si>
    <t>Ardita</t>
  </si>
  <si>
    <t>Todri</t>
  </si>
  <si>
    <t>ardita.todri@gmail.com</t>
  </si>
  <si>
    <t>Suela</t>
  </si>
  <si>
    <t>Maxhelaku</t>
  </si>
  <si>
    <t>suela.maxhelaku@fshn.edu.al</t>
  </si>
  <si>
    <t>Giovanni</t>
  </si>
  <si>
    <t>Lagioia</t>
  </si>
  <si>
    <t>giovanni.lagioia@uniba.it</t>
  </si>
  <si>
    <t>Elda</t>
  </si>
  <si>
    <t>Xhumari</t>
  </si>
  <si>
    <t>eldaxhumari@gmail.com</t>
  </si>
  <si>
    <t>Eliona</t>
  </si>
  <si>
    <t>Gremi</t>
  </si>
  <si>
    <t>Eliona.Gremi@uniel.edu.al</t>
  </si>
  <si>
    <t>LLESH</t>
  </si>
  <si>
    <t>LLESHAJ</t>
  </si>
  <si>
    <t>Valbona</t>
  </si>
  <si>
    <t>Ballkoci</t>
  </si>
  <si>
    <t>valbona.ballkoci@uniel.edu.al</t>
  </si>
  <si>
    <t>Anila</t>
  </si>
  <si>
    <t>Çekrezi</t>
  </si>
  <si>
    <t>vocianila@yahoo.com</t>
  </si>
  <si>
    <t>Chemseddine</t>
  </si>
  <si>
    <t>TIDJANI</t>
  </si>
  <si>
    <t>Algeria (DZ)</t>
  </si>
  <si>
    <t>Ronald</t>
  </si>
  <si>
    <t>Hochreiter</t>
  </si>
  <si>
    <t>Austria (AT)</t>
  </si>
  <si>
    <t>Christian</t>
  </si>
  <si>
    <t>Ochs</t>
  </si>
  <si>
    <t>christian.ochs@fincredible.at</t>
  </si>
  <si>
    <t>Hafner</t>
  </si>
  <si>
    <t>christian.hafner@uclouvain.be</t>
  </si>
  <si>
    <t>Belgium (BE)</t>
  </si>
  <si>
    <t>Igor</t>
  </si>
  <si>
    <t>Todorović</t>
  </si>
  <si>
    <t>igor.todorovic@ef.unibl.org</t>
  </si>
  <si>
    <t>Bosnia and Herzegovina (BA)</t>
  </si>
  <si>
    <t>Jelena</t>
  </si>
  <si>
    <t>Poljašević</t>
  </si>
  <si>
    <t>jelena.poljasevic@ef.unibl.org</t>
  </si>
  <si>
    <t>Rossitza</t>
  </si>
  <si>
    <t>Goleva</t>
  </si>
  <si>
    <t>rgoleva@gmail.com</t>
  </si>
  <si>
    <t>Bulgaria (BG)</t>
  </si>
  <si>
    <t>Stoyan</t>
  </si>
  <si>
    <t>Mishev</t>
  </si>
  <si>
    <t>stoyan.mishev@iaps.institute</t>
  </si>
  <si>
    <t>Yassen</t>
  </si>
  <si>
    <t>Gorbounov</t>
  </si>
  <si>
    <t>ygorbounov@nbu.bg</t>
  </si>
  <si>
    <t xml:space="preserve">Hristina </t>
  </si>
  <si>
    <t xml:space="preserve">Kostadinova </t>
  </si>
  <si>
    <t xml:space="preserve">hkostadinova@gmail.com
</t>
  </si>
  <si>
    <t>Silvija</t>
  </si>
  <si>
    <t>Vlah Jerić</t>
  </si>
  <si>
    <t>svlah@net.efzg.hr</t>
  </si>
  <si>
    <t>Croatia (HR)</t>
  </si>
  <si>
    <t>Nika</t>
  </si>
  <si>
    <t>Šimurina</t>
  </si>
  <si>
    <t>nsimurina@efzg.hr</t>
  </si>
  <si>
    <t>Martina</t>
  </si>
  <si>
    <t>Solenički</t>
  </si>
  <si>
    <t>mnakic@efzg.hr</t>
  </si>
  <si>
    <t>Ana</t>
  </si>
  <si>
    <t>Ivanisevic Hernaus</t>
  </si>
  <si>
    <t>ana.ivanisevic@efzg.hr</t>
  </si>
  <si>
    <t>Domagoj</t>
  </si>
  <si>
    <t>Sajter</t>
  </si>
  <si>
    <t>domagoj.sajter+cost@gmail.com</t>
  </si>
  <si>
    <t>Mile</t>
  </si>
  <si>
    <t>Bošnjak</t>
  </si>
  <si>
    <t>mile.bosnjak76@gmail.com</t>
  </si>
  <si>
    <t>Andreas</t>
  </si>
  <si>
    <t>Gregoriades</t>
  </si>
  <si>
    <t>andreas.gregoriades@cut.ac.cy</t>
  </si>
  <si>
    <t>Cyprus (CY)</t>
  </si>
  <si>
    <t>Loizos</t>
  </si>
  <si>
    <t>Michael</t>
  </si>
  <si>
    <t>loizos@ouc.ac.cy</t>
  </si>
  <si>
    <t>Ifigenia</t>
  </si>
  <si>
    <t>Georgiou</t>
  </si>
  <si>
    <t>Oleg</t>
  </si>
  <si>
    <t>Deev</t>
  </si>
  <si>
    <t>oleg@mail.muni.cz</t>
  </si>
  <si>
    <t>Czech Republic (CZ)</t>
  </si>
  <si>
    <t>Dagmar</t>
  </si>
  <si>
    <t>Vagnerova Linnertova</t>
  </si>
  <si>
    <t>dagmar.linnertova@mail.muni.cz</t>
  </si>
  <si>
    <t>Petr</t>
  </si>
  <si>
    <t>Hajek</t>
  </si>
  <si>
    <t>Ladislav</t>
  </si>
  <si>
    <t>Krištoufek</t>
  </si>
  <si>
    <t>LK@fsv.cuni.cz</t>
  </si>
  <si>
    <t>Jan</t>
  </si>
  <si>
    <t>Vlachy</t>
  </si>
  <si>
    <t>jan.vlachy@vscht.cz</t>
  </si>
  <si>
    <t>Maria Dolores</t>
  </si>
  <si>
    <t>Romero Morales</t>
  </si>
  <si>
    <t>drm.eco@cbs.dk</t>
  </si>
  <si>
    <t>Denmark (DK)</t>
  </si>
  <si>
    <t>Alexandros</t>
  </si>
  <si>
    <t>Iosifidis</t>
  </si>
  <si>
    <t>ai@ece.au.dk</t>
  </si>
  <si>
    <t>Innar</t>
  </si>
  <si>
    <t>Liiv</t>
  </si>
  <si>
    <t>innar.liiv@ttu.ee</t>
  </si>
  <si>
    <t>Estonia (EE)</t>
  </si>
  <si>
    <t>Jaan</t>
  </si>
  <si>
    <t>Übi</t>
  </si>
  <si>
    <t>jaan.ubi@ut.ee</t>
  </si>
  <si>
    <t>Laivi</t>
  </si>
  <si>
    <t>Laidroo</t>
  </si>
  <si>
    <t>Susanne</t>
  </si>
  <si>
    <t>Durst</t>
  </si>
  <si>
    <t>susanne.durst@taltech.ee</t>
  </si>
  <si>
    <t>Esteban</t>
  </si>
  <si>
    <t>Guerrero</t>
  </si>
  <si>
    <t>esteban.guerrero@uwasa.fi</t>
  </si>
  <si>
    <t>Finland (FI)</t>
  </si>
  <si>
    <t>Agnes</t>
  </si>
  <si>
    <t>Guerraz</t>
  </si>
  <si>
    <t>agnes.guerraz@skopai.com</t>
  </si>
  <si>
    <t>France (FR)</t>
  </si>
  <si>
    <t>Emmanuel</t>
  </si>
  <si>
    <t>EYIAH-DONKOR</t>
  </si>
  <si>
    <t>emmanuel.eyiah-donkor@rennes-sb.com</t>
  </si>
  <si>
    <t>Roman</t>
  </si>
  <si>
    <t>Matkovsky</t>
  </si>
  <si>
    <t>Galena</t>
  </si>
  <si>
    <t>Pisoni</t>
  </si>
  <si>
    <t>galena.pisoni@gmail.com</t>
  </si>
  <si>
    <t>Marianna</t>
  </si>
  <si>
    <t>Russo</t>
  </si>
  <si>
    <t>marianna.russo@neoma-bs.fr</t>
  </si>
  <si>
    <t>Akanksha</t>
  </si>
  <si>
    <t>Jalan</t>
  </si>
  <si>
    <t>akanksha.jalan@rennes-sb.com</t>
  </si>
  <si>
    <t>Alexandre</t>
  </si>
  <si>
    <t>Boulenger</t>
  </si>
  <si>
    <t>alexandre.boulenger@gmail.com</t>
  </si>
  <si>
    <t>Alla</t>
  </si>
  <si>
    <t>Petukhina</t>
  </si>
  <si>
    <t>Germany (DE)</t>
  </si>
  <si>
    <t>Wolfgang</t>
  </si>
  <si>
    <t>Härdle</t>
  </si>
  <si>
    <t>Natalie</t>
  </si>
  <si>
    <t>Packham</t>
  </si>
  <si>
    <t>packham@hwr-berlin.de</t>
  </si>
  <si>
    <t>Danial</t>
  </si>
  <si>
    <t>Saef</t>
  </si>
  <si>
    <t>danial.saef@hu-berlin.de</t>
  </si>
  <si>
    <t>Rui</t>
  </si>
  <si>
    <t>Ren</t>
  </si>
  <si>
    <t>rui.ren@hu-berlin.de</t>
  </si>
  <si>
    <t>Min-Bin</t>
  </si>
  <si>
    <t>Lin</t>
  </si>
  <si>
    <t>min-bin.lin@hu-berlin.de</t>
  </si>
  <si>
    <t>Ioannis</t>
  </si>
  <si>
    <t>Emiris</t>
  </si>
  <si>
    <t>emiris@di.uoa.gr</t>
  </si>
  <si>
    <t>Greece (EL)</t>
  </si>
  <si>
    <t>Veni</t>
  </si>
  <si>
    <t>Arakelian</t>
  </si>
  <si>
    <t>Vasiliki</t>
  </si>
  <si>
    <t>Skintzi</t>
  </si>
  <si>
    <t>vikiski@uop.gr</t>
  </si>
  <si>
    <t>Thomas</t>
  </si>
  <si>
    <t>DASAKLIS</t>
  </si>
  <si>
    <t>dasaklis@unipi.gr</t>
  </si>
  <si>
    <t>Apostolos</t>
  </si>
  <si>
    <t>Chalkis</t>
  </si>
  <si>
    <t>Paraskevi</t>
  </si>
  <si>
    <t>Tsoutsa</t>
  </si>
  <si>
    <t>tsoutsa@teilar.gr</t>
  </si>
  <si>
    <t>Anh Tuan</t>
  </si>
  <si>
    <t>Trinh</t>
  </si>
  <si>
    <t>trinhanhtuan247@gmail.com</t>
  </si>
  <si>
    <t>Hungary (HU)</t>
  </si>
  <si>
    <t>Anita</t>
  </si>
  <si>
    <t>Pelle</t>
  </si>
  <si>
    <t>pelle@eco.u-szeged.hu</t>
  </si>
  <si>
    <t>Bálint</t>
  </si>
  <si>
    <t>Molnár</t>
  </si>
  <si>
    <t>substitute MC member</t>
  </si>
  <si>
    <t>Meriem</t>
  </si>
  <si>
    <t>Kherbouche</t>
  </si>
  <si>
    <t>meriemkherbouche@inf.elte.hu</t>
  </si>
  <si>
    <t xml:space="preserve">Rita </t>
  </si>
  <si>
    <t>Bán</t>
  </si>
  <si>
    <t>banbernadett@inf.elte.hu</t>
  </si>
  <si>
    <t>Mohammad</t>
  </si>
  <si>
    <t>Hamdaqa</t>
  </si>
  <si>
    <t>mhamdaqa@ru.is</t>
  </si>
  <si>
    <t>Iceland (IS)</t>
  </si>
  <si>
    <t>Hanna Kristín</t>
  </si>
  <si>
    <t>Skaftadóttir</t>
  </si>
  <si>
    <t>hks7@hi.is</t>
  </si>
  <si>
    <t>María</t>
  </si>
  <si>
    <t>Óskarsdóttir</t>
  </si>
  <si>
    <t>mariaoskars@ru.is</t>
  </si>
  <si>
    <t>Rupel</t>
  </si>
  <si>
    <t>Nargunam</t>
  </si>
  <si>
    <t>India (IN)</t>
  </si>
  <si>
    <t>Valerio</t>
  </si>
  <si>
    <t>Poti</t>
  </si>
  <si>
    <t>Ireland (IE)</t>
  </si>
  <si>
    <t>Maria</t>
  </si>
  <si>
    <t>Moloney</t>
  </si>
  <si>
    <t>maria.moloney@ucd.ie</t>
  </si>
  <si>
    <t>Don</t>
  </si>
  <si>
    <t>Bredin</t>
  </si>
  <si>
    <t>don.bredin@ucd.ie</t>
  </si>
  <si>
    <t>Vassilios</t>
  </si>
  <si>
    <t>Papavassiliou</t>
  </si>
  <si>
    <t>Jamal</t>
  </si>
  <si>
    <t>Abdul Nasir</t>
  </si>
  <si>
    <t>jamal.nasir@nuigalway.ie</t>
  </si>
  <si>
    <t>Lennart John</t>
  </si>
  <si>
    <t>Baals</t>
  </si>
  <si>
    <t>Yosi</t>
  </si>
  <si>
    <t>KELLER</t>
  </si>
  <si>
    <t>yosi.keller@gmail.com</t>
  </si>
  <si>
    <t>Israel (IL)</t>
  </si>
  <si>
    <t>Aviv</t>
  </si>
  <si>
    <t>Gibali</t>
  </si>
  <si>
    <t>avivg@braude.ac.il</t>
  </si>
  <si>
    <t>Abraham</t>
  </si>
  <si>
    <t>Weinberg</t>
  </si>
  <si>
    <t>abraham-itzhak.weinberg@biu.ac.il</t>
  </si>
  <si>
    <t>Paolo</t>
  </si>
  <si>
    <t>Giudici</t>
  </si>
  <si>
    <t>giudici@unipv.it</t>
  </si>
  <si>
    <t>Italy (IT)</t>
  </si>
  <si>
    <t>Luca</t>
  </si>
  <si>
    <t>Di Persio</t>
  </si>
  <si>
    <t>luca.dipersio@univr.it</t>
  </si>
  <si>
    <t>Daniele</t>
  </si>
  <si>
    <t>Marazzina</t>
  </si>
  <si>
    <t>NadiaConcetta</t>
  </si>
  <si>
    <t>Fabrizio</t>
  </si>
  <si>
    <t>nadia.fabrizio@cefriel.com</t>
  </si>
  <si>
    <t>Claudia</t>
  </si>
  <si>
    <t>Tarantola</t>
  </si>
  <si>
    <t>claudia.tarantola@unipv.it</t>
  </si>
  <si>
    <t>Federica</t>
  </si>
  <si>
    <t>Miglietta</t>
  </si>
  <si>
    <t>federica.miglietta@uniba.it</t>
  </si>
  <si>
    <t>Barbara</t>
  </si>
  <si>
    <t>Alemanni</t>
  </si>
  <si>
    <t>alemanni@economia.unige.it</t>
  </si>
  <si>
    <t>Alessandra</t>
  </si>
  <si>
    <t>Tanda</t>
  </si>
  <si>
    <t>Trapin</t>
  </si>
  <si>
    <t>luca.trapin@unibo.it</t>
  </si>
  <si>
    <t>Iannario</t>
  </si>
  <si>
    <t>Simona</t>
  </si>
  <si>
    <t>Cosma</t>
  </si>
  <si>
    <t>simona.cosma@unisalento.it</t>
  </si>
  <si>
    <t>Francesca</t>
  </si>
  <si>
    <t>Grassetti</t>
  </si>
  <si>
    <t>francesca.grassetti@polimi.it</t>
  </si>
  <si>
    <t>Luisa</t>
  </si>
  <si>
    <t>Anderloni</t>
  </si>
  <si>
    <t>luisa.anderloni@unimi.it</t>
  </si>
  <si>
    <t>Kadri</t>
  </si>
  <si>
    <t>Sylejmani</t>
  </si>
  <si>
    <t>kadri.sylejmani@uni-pr.edu</t>
  </si>
  <si>
    <t>Kosovo* (KV)</t>
  </si>
  <si>
    <t>Albulena</t>
  </si>
  <si>
    <t>Shala</t>
  </si>
  <si>
    <t>Dashmir</t>
  </si>
  <si>
    <t>Istrefi</t>
  </si>
  <si>
    <t>dashmir.istrefi@hoyo.tech</t>
  </si>
  <si>
    <t>Ramona</t>
  </si>
  <si>
    <t>Rupeika-Apoga</t>
  </si>
  <si>
    <t>Latvia (LV)</t>
  </si>
  <si>
    <t>Kristina</t>
  </si>
  <si>
    <t>Šutienė</t>
  </si>
  <si>
    <t>Lithuania (LT)</t>
  </si>
  <si>
    <t>Audrius</t>
  </si>
  <si>
    <t>Kabašinskas</t>
  </si>
  <si>
    <t>audrius.kabasinskas@ktu.lt</t>
  </si>
  <si>
    <t>DEIMANTE</t>
  </si>
  <si>
    <t>TERESIENE</t>
  </si>
  <si>
    <t>teresiened@gmail.com</t>
  </si>
  <si>
    <t>Jurgita</t>
  </si>
  <si>
    <t>Černevičienė</t>
  </si>
  <si>
    <t>jurgitamark@gmail.com</t>
  </si>
  <si>
    <t>Dominykas</t>
  </si>
  <si>
    <t>Svedas</t>
  </si>
  <si>
    <t>dominykas.svedas@gmail.com</t>
  </si>
  <si>
    <t>Sabine</t>
  </si>
  <si>
    <t>Dörry</t>
  </si>
  <si>
    <t>sabine.doerry@liser.lu</t>
  </si>
  <si>
    <t>Luxembourg (LU)</t>
  </si>
  <si>
    <t>Djamila</t>
  </si>
  <si>
    <t>Aouada</t>
  </si>
  <si>
    <t>djamila.aouada@uni.lu</t>
  </si>
  <si>
    <t>Saida</t>
  </si>
  <si>
    <t>Teleu</t>
  </si>
  <si>
    <t>teleus@centralbankmalta.org</t>
  </si>
  <si>
    <t>Malta (MT)</t>
  </si>
  <si>
    <t>David</t>
  </si>
  <si>
    <t>Bevan</t>
  </si>
  <si>
    <t>Angele</t>
  </si>
  <si>
    <t>Giuliano</t>
  </si>
  <si>
    <t>angele.giuliano@umnai.com</t>
  </si>
  <si>
    <t>Ken</t>
  </si>
  <si>
    <t>Cassar</t>
  </si>
  <si>
    <t>ken.cassar@umnai.com</t>
  </si>
  <si>
    <t>Andrei</t>
  </si>
  <si>
    <t>Petroia</t>
  </si>
  <si>
    <t>petroia5@hotmail.com</t>
  </si>
  <si>
    <t>Moldova (MD)</t>
  </si>
  <si>
    <t>Lazar</t>
  </si>
  <si>
    <t>Obradović</t>
  </si>
  <si>
    <t>lazaro@ucg.ac.me</t>
  </si>
  <si>
    <t>Montenegro (ME)</t>
  </si>
  <si>
    <t>Luka</t>
  </si>
  <si>
    <t>Filipovic</t>
  </si>
  <si>
    <t>luka.filipovic@udg.edu.me</t>
  </si>
  <si>
    <t>Kleverlaan</t>
  </si>
  <si>
    <t>Netherlands (NL)</t>
  </si>
  <si>
    <t>Friedemann</t>
  </si>
  <si>
    <t>Polzin</t>
  </si>
  <si>
    <t>f.h.j.polzin@uu.nl</t>
  </si>
  <si>
    <t>Cornelis</t>
  </si>
  <si>
    <t>Oosterlee</t>
  </si>
  <si>
    <t>c.w.oosterlee@tudelft.nl</t>
  </si>
  <si>
    <t>Walther</t>
  </si>
  <si>
    <t>t.walther@uu.nl</t>
  </si>
  <si>
    <t>Cuong</t>
  </si>
  <si>
    <t>Nguyen</t>
  </si>
  <si>
    <t>cuong.nguyen@lincoln.ac.nz</t>
  </si>
  <si>
    <t>New Zealand (NZ)</t>
  </si>
  <si>
    <t>Petre</t>
  </si>
  <si>
    <t>Lameski</t>
  </si>
  <si>
    <t>North Macedonia (MK)</t>
  </si>
  <si>
    <t>Miroslav</t>
  </si>
  <si>
    <t>Mirchev</t>
  </si>
  <si>
    <t>miroslav.mirchev@finki.ukim.mk</t>
  </si>
  <si>
    <t>Tatjana</t>
  </si>
  <si>
    <t>Atanasova - Pachemska</t>
  </si>
  <si>
    <t>tatjana.pacemska@ugd.edu.mk</t>
  </si>
  <si>
    <t>Eftim</t>
  </si>
  <si>
    <t>Zdravevski</t>
  </si>
  <si>
    <t>eftim.zdravevski@finki.ukim.mk</t>
  </si>
  <si>
    <t>Goran</t>
  </si>
  <si>
    <t>Petkovski</t>
  </si>
  <si>
    <t>goran.petkovski@finki.ukim.mk</t>
  </si>
  <si>
    <t>Ågotnes</t>
  </si>
  <si>
    <t>thomas.agotnes@infomedia.uib.no</t>
  </si>
  <si>
    <t>Norway (NO)</t>
  </si>
  <si>
    <t>Rita</t>
  </si>
  <si>
    <t>Pimentel</t>
  </si>
  <si>
    <t>Per B</t>
  </si>
  <si>
    <t>Solibakke</t>
  </si>
  <si>
    <t>per.b.solibakke@ntnu.no</t>
  </si>
  <si>
    <t>Ahmad Amine</t>
  </si>
  <si>
    <t>Loutfi</t>
  </si>
  <si>
    <t>ah.am.loutfi@gmail.com</t>
  </si>
  <si>
    <t>Wei</t>
  </si>
  <si>
    <t>Li</t>
  </si>
  <si>
    <t>wei.li@hu-berlin.de</t>
  </si>
  <si>
    <t>Florentina</t>
  </si>
  <si>
    <t>Paraschiv</t>
  </si>
  <si>
    <t>florentina.paraschiv@ntnu.no</t>
  </si>
  <si>
    <t>Shatha</t>
  </si>
  <si>
    <t>Qamhieh</t>
  </si>
  <si>
    <t>shatha.qamhieh@najah.edu</t>
  </si>
  <si>
    <t>Palestine** (PS)</t>
  </si>
  <si>
    <t>Manar</t>
  </si>
  <si>
    <t>m.qamhieh@najah.edu</t>
  </si>
  <si>
    <t>Mona</t>
  </si>
  <si>
    <t>Demaidi</t>
  </si>
  <si>
    <t>monademaidi@gmail.com</t>
  </si>
  <si>
    <t>Piotr</t>
  </si>
  <si>
    <t>Wójcik</t>
  </si>
  <si>
    <t>Poland (PL)</t>
  </si>
  <si>
    <t>Marcin</t>
  </si>
  <si>
    <t>Chlebus</t>
  </si>
  <si>
    <t>mchlebus@wne.uw.edu.pl</t>
  </si>
  <si>
    <t>Będowska-Sójka</t>
  </si>
  <si>
    <t>barbara.bedowska-sojka@ue.poznan.pl</t>
  </si>
  <si>
    <t>Karolina</t>
  </si>
  <si>
    <t>Bolesta</t>
  </si>
  <si>
    <t>Bernardete</t>
  </si>
  <si>
    <t>Ribeiro</t>
  </si>
  <si>
    <t>bribeiro@dei.uc.pt</t>
  </si>
  <si>
    <t>Portugal (PT)</t>
  </si>
  <si>
    <t>Joana</t>
  </si>
  <si>
    <t>Dias</t>
  </si>
  <si>
    <t>joana@fe.uc.pt</t>
  </si>
  <si>
    <t>Maria Luisa</t>
  </si>
  <si>
    <t>Morgado</t>
  </si>
  <si>
    <t>luisam@utad.pt</t>
  </si>
  <si>
    <t>Catarina</t>
  </si>
  <si>
    <t>Silva</t>
  </si>
  <si>
    <t>Tiago</t>
  </si>
  <si>
    <t>Faria</t>
  </si>
  <si>
    <t>tiagofaria@student.dei.uc.pt</t>
  </si>
  <si>
    <t>Bernardo</t>
  </si>
  <si>
    <t>Marques</t>
  </si>
  <si>
    <t>bmarques@ucp.pt</t>
  </si>
  <si>
    <t>Ciprian-Octavian</t>
  </si>
  <si>
    <t>Truică</t>
  </si>
  <si>
    <t>ciprian.octavian.truica@gmail.com</t>
  </si>
  <si>
    <t>Romania (RO)</t>
  </si>
  <si>
    <t>Elena Simona</t>
  </si>
  <si>
    <t>Apostol</t>
  </si>
  <si>
    <t>elena.apostol@upb.ro</t>
  </si>
  <si>
    <t>Claudia Daniela</t>
  </si>
  <si>
    <t>Antal (Pop)</t>
  </si>
  <si>
    <t>claudia.pop@cs.utcluj.ro</t>
  </si>
  <si>
    <t>Daniel Traian</t>
  </si>
  <si>
    <t>Pele</t>
  </si>
  <si>
    <t>Vasile</t>
  </si>
  <si>
    <t>Strat</t>
  </si>
  <si>
    <t>vasile.strat@bbs.ase.ro</t>
  </si>
  <si>
    <t>Ciprian</t>
  </si>
  <si>
    <t>Sipos</t>
  </si>
  <si>
    <t>Codruta</t>
  </si>
  <si>
    <t>MARE</t>
  </si>
  <si>
    <t>Ioana</t>
  </si>
  <si>
    <t>Coita</t>
  </si>
  <si>
    <t>Damascan</t>
  </si>
  <si>
    <t>andreidamascan@gmail.com</t>
  </si>
  <si>
    <t>Stefana</t>
  </si>
  <si>
    <t>Belbe</t>
  </si>
  <si>
    <t>MIRJANA</t>
  </si>
  <si>
    <t>IVANOVIC</t>
  </si>
  <si>
    <t>mira@dmi.uns.ac.rs</t>
  </si>
  <si>
    <t>Serbia (RS)</t>
  </si>
  <si>
    <t>Vladimir</t>
  </si>
  <si>
    <t>Simović</t>
  </si>
  <si>
    <t>vladimir.simovic@ien.bg.ac.rs</t>
  </si>
  <si>
    <t>Miljan</t>
  </si>
  <si>
    <t>Vučetić</t>
  </si>
  <si>
    <t>Ivan</t>
  </si>
  <si>
    <t>Nikolic</t>
  </si>
  <si>
    <t>ivan.nikolic@ecinst.org.rs</t>
  </si>
  <si>
    <t>Lidija</t>
  </si>
  <si>
    <t>Barjaktarović</t>
  </si>
  <si>
    <t>Simon</t>
  </si>
  <si>
    <t>Trimborn</t>
  </si>
  <si>
    <t>Singapore (SG)</t>
  </si>
  <si>
    <t>Ying</t>
  </si>
  <si>
    <t>Chen</t>
  </si>
  <si>
    <t>matcheny@nus.edu.sg</t>
  </si>
  <si>
    <t>Hudec</t>
  </si>
  <si>
    <t>miroslav.hudec@euba.sk</t>
  </si>
  <si>
    <t>Slovakia (SK)</t>
  </si>
  <si>
    <t>Jana</t>
  </si>
  <si>
    <t>Peliova</t>
  </si>
  <si>
    <t>jana.peliova@euba.sk</t>
  </si>
  <si>
    <t>Marek</t>
  </si>
  <si>
    <t>Káčer</t>
  </si>
  <si>
    <t>marek.kacer@euba.sk</t>
  </si>
  <si>
    <t>Andrea</t>
  </si>
  <si>
    <t>Furkova</t>
  </si>
  <si>
    <t>andrea.furkova@euba.sk</t>
  </si>
  <si>
    <t>Michal</t>
  </si>
  <si>
    <t>Kompan</t>
  </si>
  <si>
    <t>miso.kompan@gmail.com</t>
  </si>
  <si>
    <t>Erika</t>
  </si>
  <si>
    <t>Mináriková</t>
  </si>
  <si>
    <t>erika.minarikova@euba.sk</t>
  </si>
  <si>
    <t>Denis</t>
  </si>
  <si>
    <t>Trček</t>
  </si>
  <si>
    <t>Slovenia (SI)</t>
  </si>
  <si>
    <t>Aleks</t>
  </si>
  <si>
    <t>Huc</t>
  </si>
  <si>
    <t>aleks.huc@fri.uni-lj.si</t>
  </si>
  <si>
    <t>Loncarski</t>
  </si>
  <si>
    <t>igor.loncarski@ef.uni-lj.si</t>
  </si>
  <si>
    <t>Sašo</t>
  </si>
  <si>
    <t>Karakatič</t>
  </si>
  <si>
    <t>German</t>
  </si>
  <si>
    <t>Rodrigo</t>
  </si>
  <si>
    <t>german.rodrigo@csic.es</t>
  </si>
  <si>
    <t>Spain (ES)</t>
  </si>
  <si>
    <t>Antonio</t>
  </si>
  <si>
    <t>Pelegrina Jimenez</t>
  </si>
  <si>
    <t>antpele@gmail.com</t>
  </si>
  <si>
    <t>Antoni</t>
  </si>
  <si>
    <t>Jaume i Capó</t>
  </si>
  <si>
    <t>antoni.jaume@uib.es</t>
  </si>
  <si>
    <t>Javier</t>
  </si>
  <si>
    <t>Arroyo</t>
  </si>
  <si>
    <t>Carlos</t>
  </si>
  <si>
    <t>Vazquez</t>
  </si>
  <si>
    <t>carlosv@udc.es</t>
  </si>
  <si>
    <t>Miquel</t>
  </si>
  <si>
    <t>Noguer i Alonso</t>
  </si>
  <si>
    <t>miquel.noguer@aifinanceinstitute.com</t>
  </si>
  <si>
    <t>Miller Janny</t>
  </si>
  <si>
    <t>Ariza Garzón</t>
  </si>
  <si>
    <t>millerar@ucm.es</t>
  </si>
  <si>
    <t>Luis</t>
  </si>
  <si>
    <t>Lorenzo</t>
  </si>
  <si>
    <t>Juan Carlos</t>
  </si>
  <si>
    <t>Nieves Sanchez</t>
  </si>
  <si>
    <t>jcnieves@cs.umu.se</t>
  </si>
  <si>
    <t>Sweden (SE)</t>
  </si>
  <si>
    <t>Theodorou</t>
  </si>
  <si>
    <t>andreas.theodorou@umu.se</t>
  </si>
  <si>
    <t>Ye</t>
  </si>
  <si>
    <t>Zhang</t>
  </si>
  <si>
    <t>Ye.Zhang@hhs.se</t>
  </si>
  <si>
    <t>Jörg</t>
  </si>
  <si>
    <t>Osterrieder</t>
  </si>
  <si>
    <t>oste@zhaw.ch</t>
  </si>
  <si>
    <t>Switzerland (CH)</t>
  </si>
  <si>
    <t>Peter</t>
  </si>
  <si>
    <t>Schwendner</t>
  </si>
  <si>
    <t>Marc</t>
  </si>
  <si>
    <t>Wildi</t>
  </si>
  <si>
    <t>wlmr@zhaw.ch</t>
  </si>
  <si>
    <t>Jan-Alexander</t>
  </si>
  <si>
    <t>Posth</t>
  </si>
  <si>
    <t>posh@zhaw.ch</t>
  </si>
  <si>
    <t>Branka</t>
  </si>
  <si>
    <t>Hadji Misheva</t>
  </si>
  <si>
    <t>hadj@zhaw.ch</t>
  </si>
  <si>
    <t>Marcus</t>
  </si>
  <si>
    <t>Wunsch</t>
  </si>
  <si>
    <t>wuns@zhaw.ch</t>
  </si>
  <si>
    <t>Matthias</t>
  </si>
  <si>
    <t>Fengler</t>
  </si>
  <si>
    <t>matthias.fengler@unisg.ch</t>
  </si>
  <si>
    <t>Hopp</t>
  </si>
  <si>
    <t>christian.hopp@bfh.ch</t>
  </si>
  <si>
    <t>Huei-Wen</t>
  </si>
  <si>
    <t>Teng</t>
  </si>
  <si>
    <t>venteng@gmail.com</t>
  </si>
  <si>
    <t>Taiwan (TW)</t>
  </si>
  <si>
    <t>Ismail</t>
  </si>
  <si>
    <t>Kirbas</t>
  </si>
  <si>
    <t>ismkir@gmail.com</t>
  </si>
  <si>
    <t>Turkey (TR)</t>
  </si>
  <si>
    <t>Enis</t>
  </si>
  <si>
    <t>Kayis</t>
  </si>
  <si>
    <t>enis.kayis@ozyegin.edu.tr</t>
  </si>
  <si>
    <t>Ozgur</t>
  </si>
  <si>
    <t>Yildirim</t>
  </si>
  <si>
    <t>ozgury@yildiz.edu.tr</t>
  </si>
  <si>
    <t>esra</t>
  </si>
  <si>
    <t>kabaklarli</t>
  </si>
  <si>
    <t>Belma</t>
  </si>
  <si>
    <t>OZTURKKAL</t>
  </si>
  <si>
    <t>Sinan</t>
  </si>
  <si>
    <t>Hanay</t>
  </si>
  <si>
    <t>sinanhanay@akdeniz.edu.tr</t>
  </si>
  <si>
    <t>Seda</t>
  </si>
  <si>
    <t>TURK</t>
  </si>
  <si>
    <t>sedaturk@hotmail.com</t>
  </si>
  <si>
    <t>Alper</t>
  </si>
  <si>
    <t>Ozcan</t>
  </si>
  <si>
    <t>alper.ozcan@gmail.com</t>
  </si>
  <si>
    <t>Bekir</t>
  </si>
  <si>
    <t>Berkcan</t>
  </si>
  <si>
    <t>bberkcan@artvin.edu.tr</t>
  </si>
  <si>
    <t>Melike</t>
  </si>
  <si>
    <t>Bildirici</t>
  </si>
  <si>
    <t>melikebildirici@gmail.com</t>
  </si>
  <si>
    <t>Mutlu</t>
  </si>
  <si>
    <t>Akar</t>
  </si>
  <si>
    <t>makar@yildiz.edu.tr</t>
  </si>
  <si>
    <t>Gamze</t>
  </si>
  <si>
    <t>Ozturk Danisman</t>
  </si>
  <si>
    <t>gamze.danisman@khas.edu.tr</t>
  </si>
  <si>
    <t>Stephen</t>
  </si>
  <si>
    <t>Chan</t>
  </si>
  <si>
    <t>schan@aus.edu</t>
  </si>
  <si>
    <t>United Arab Emirates (AE)</t>
  </si>
  <si>
    <t>Bracciali</t>
  </si>
  <si>
    <t>abracciali@gmail.com</t>
  </si>
  <si>
    <t>United Kingdom (UK)</t>
  </si>
  <si>
    <t>Tomaso</t>
  </si>
  <si>
    <t>Aste</t>
  </si>
  <si>
    <t>t.aste@ucl.ac.uk</t>
  </si>
  <si>
    <t>Felipe</t>
  </si>
  <si>
    <t>Ferri de C. Paes</t>
  </si>
  <si>
    <t>fe.ferripaes@gmail.com</t>
  </si>
  <si>
    <t>Ania</t>
  </si>
  <si>
    <t>Zalewska</t>
  </si>
  <si>
    <t>Arman</t>
  </si>
  <si>
    <t>Hassanniakalager</t>
  </si>
  <si>
    <t>ah2493@bath.ac.uk</t>
  </si>
  <si>
    <t>Luciana</t>
  </si>
  <si>
    <t>Dalla Valle</t>
  </si>
  <si>
    <t>Matthieu</t>
  </si>
  <si>
    <t>Nadini</t>
  </si>
  <si>
    <t>matthieu.nadini@gmail.com</t>
  </si>
  <si>
    <t>Stavros</t>
  </si>
  <si>
    <t>Pantos</t>
  </si>
  <si>
    <t>s.pantos@pgr.reading.ac.uk</t>
  </si>
  <si>
    <t>Jose</t>
  </si>
  <si>
    <t>Muniz Martinez</t>
  </si>
  <si>
    <t>jamm24@bath.ac.uk</t>
  </si>
  <si>
    <t>Phuong</t>
  </si>
  <si>
    <t>npanh@hcmiu.edu.vn</t>
  </si>
  <si>
    <t>Vietnam (VN)</t>
  </si>
  <si>
    <t>Sam</t>
  </si>
  <si>
    <t>Goundar</t>
  </si>
  <si>
    <t>Mike</t>
  </si>
  <si>
    <t>Tsionas</t>
  </si>
  <si>
    <t>miketsionas1@gmail.com</t>
  </si>
  <si>
    <t>Jozef</t>
  </si>
  <si>
    <t>Barunik</t>
  </si>
  <si>
    <t>barunik@utia.cas.cz</t>
  </si>
  <si>
    <t>Country Coordinator for the progress report. At least one per country</t>
  </si>
  <si>
    <t xml:space="preserve">Country  </t>
  </si>
  <si>
    <t xml:space="preserve">Responsible </t>
  </si>
  <si>
    <t>email to fill in report sent</t>
  </si>
  <si>
    <t>reminder sent</t>
  </si>
  <si>
    <t>2nd reminder sent</t>
  </si>
  <si>
    <t>3rd reminder sent</t>
  </si>
  <si>
    <t>Coordinator 1</t>
  </si>
  <si>
    <t>Coordinator 2</t>
  </si>
  <si>
    <t>Coordinator 3</t>
  </si>
  <si>
    <t>Link</t>
  </si>
  <si>
    <t xml:space="preserve">Please add the link to your copy of the report </t>
  </si>
  <si>
    <t>https://docs.google.com/document/d/1Y0w27959kx0P0g-7Fgd3cu4Yd46gZ2OFnh4FJUsgIS8/edit#</t>
  </si>
  <si>
    <t>email</t>
  </si>
  <si>
    <t>Link to country report</t>
  </si>
  <si>
    <r>
      <rPr/>
      <t xml:space="preserve">Template report to be copied: </t>
    </r>
    <r>
      <rPr>
        <color rgb="FF1155CC"/>
        <u/>
      </rPr>
      <t>https://docs.google.com/document/d/1Y0w27959kx0P0g-7Fgd3cu4Yd46gZ2OFnh4FJUsgIS8/edit#heading=h.2mpvn8bbm5w6</t>
    </r>
  </si>
  <si>
    <t>joerg</t>
  </si>
  <si>
    <t>y</t>
  </si>
  <si>
    <t>https://docs.google.com/document/d/1iOZrM7AnjALr_yjkkJOtuyzlYeNvi_Xs4ehVZQZNGaA/edit#heading=h.32e7gxn6ztmt</t>
  </si>
  <si>
    <t>n</t>
  </si>
  <si>
    <t>AUSTRIA COST FinAI Progress Report GP1 and GP2</t>
  </si>
  <si>
    <t>https://docs.google.com/document/d/1y36UVVrMeOXD3s3liJ7ecwAvajoizWXoAe_Bli9Wys8/edit#heading=h.32e7gxn6ztmt</t>
  </si>
  <si>
    <t>dont want to write a report</t>
  </si>
  <si>
    <t>https://docs.google.com/document/d/1oO7bb8LGn88X4S9V7P6NAFD765PrfGRM/edit?usp=sharing&amp;ouid=105279148080483818425&amp;rtpof=true&amp;sd=true</t>
  </si>
  <si>
    <t>https://docs.google.com/document/d/1lrRwi7e_8bFQB39NKm4DgD-tgEZI6hcY/edit#</t>
  </si>
  <si>
    <t>https://docs.google.com/document/d/18jME8nOvpYpCJZtKBuItQSCE33jCXDtyfpp5GE9rN8s/edit#</t>
  </si>
  <si>
    <t>oleg@muni.cz</t>
  </si>
  <si>
    <t>https://docs.google.com/document/d/1YPxHBY2v8zGAL2bDBYXSWlD74VCGJwS7FduI8T_YJ6c/edit#heading=h.3l5zvva7l0gu</t>
  </si>
  <si>
    <t>https://docs.google.com/document/d/10xC_zEA3APqy0OqtIWPDivF9XtI20Y16Vy2BLWqqvQM/edit#heading=h.32e7gxn6ztmt</t>
  </si>
  <si>
    <t>https://docs.google.com/document/d/1s2FJdQyUJl4b_POWwJvYLueVupqzezUc2EGpuq5Zpy0/edit?usp=sharing</t>
  </si>
  <si>
    <t>alla.petukhina@htw-berlin.de</t>
  </si>
  <si>
    <t>https://docs.google.com/document/d/140mQ2ePur80UbqIjNI2w4RpgqtqLjWTlspFwqMBxqAY/edit?usp=sharing</t>
  </si>
  <si>
    <t>Veniarakelian@yahoo.com</t>
  </si>
  <si>
    <t>tuan.trinh@eitdigital.eu</t>
  </si>
  <si>
    <t>https://docs.google.com/document/d/1zCJ0b3kScjtx6c3xAdEpjorVLjTmPsBdOCqavMGs1OA/edit?usp=sharing</t>
  </si>
  <si>
    <t>https://docs.google.com/document/d/1Rw1CF21ASPSzI_Q7HIjCUI-RS1wizLlwmND2ob-cgeg/edit#heading=h.32e7gxn6ztmt</t>
  </si>
  <si>
    <t>https://docs.google.com/document/d/1cIIZXssqNfgArRh5nNxZxjot95C4U3X7wKvnAZSLoHc/edit?usp=sharing</t>
  </si>
  <si>
    <t>alessia.paccagnini@ucd.ie</t>
  </si>
  <si>
    <t>https://docs.google.com/document/d/1puJMR1go9Ff5Zce1XB4nOD6c4XMiyMgva0Ximavhcx0/edit</t>
  </si>
  <si>
    <t>https://docs.google.com/document/d/1NFE0Qk8SF_guVBBbSwM5ReFXamp0f5FVPs7lceulR5c/edit?usp=sharing</t>
  </si>
  <si>
    <t>kristina</t>
  </si>
  <si>
    <t>https://docs.google.com/document/d/1TxnRdadvV30loGWMaMJ5HyooUFrIfRZdFVoSFqDQeRA/edit?usp=sharing</t>
  </si>
  <si>
    <t>https://docs.google.com/document/d/15aJpyctdKGChmTmZvojNtLrPXKc0UHXT0P2g6azpWos/edit?usp=sharing</t>
  </si>
  <si>
    <t>https://docs.google.com/document/d/1g0peRJ3XNgu30mCtF8ryr7RWUX1eSjAe/edit?usp=sharing&amp;ouid=100307204068834796883&amp;rtpof=true&amp;sd=true</t>
  </si>
  <si>
    <t>https://docs.google.com/document/d/165BiTMN2cpdH9UaH1EoZ4gcPsFYYHuL6T6L7TAy2sZw/edit#heading=h.32e7gxn6ztmt</t>
  </si>
  <si>
    <t>https://docs.google.com/document/d/154fyD4OXUepnaxETMyAcJDFOiPuJhIv2/edit?usp=sharing&amp;ouid=114838286075587525311&amp;rtpof=true&amp;sd=true</t>
  </si>
  <si>
    <t>https://docs.google.com/document/d/1CwocoD6YQq1Nz_XIavnC81e92psgkVAR/edit#heading=h.gjdgxs</t>
  </si>
  <si>
    <t>https://docs.google.com/document/d/1RXh0FtykIGpPB9L7O8TSTJ8tTOjXQcSB/edit</t>
  </si>
  <si>
    <t>denis.trcek@fri.uni-lj.si</t>
  </si>
  <si>
    <t>https://docs.google.com/document/d/13H0x92x_1CnXmz1W38Yyl9RgCUuEa9gjrkmjVvU92qE/edit?usp=sharing</t>
  </si>
  <si>
    <t>https://docs.google.com/document/d/1YIExduOhquNsFWPWwnBZg9Tn2GQ8SevvT-MU68x97cQ/edit#</t>
  </si>
  <si>
    <t>all CH members</t>
  </si>
  <si>
    <t>https://docs.google.com/document/d/1uYG9HhIzCTZ1EDZC3G-eH4Yia8KFFpk2dScGNVDIA_Y/edit#heading=h.gjdgxs</t>
  </si>
  <si>
    <t>https://docs.google.com/document/d/1Av8VJLbeUocD7klHcIvLvVr_JCGFxjap/edit?usp=sharing&amp;ouid=116591962908536436994&amp;rtpof=true&amp;sd=true</t>
  </si>
  <si>
    <t>https://docs.google.com/presentation/d/1vNClf1_yMVSIljvjaHS49utYK4Py0Juh/edit?usp=sharing&amp;ouid=116591962908536436994&amp;rtpof=true&amp;sd=true</t>
  </si>
  <si>
    <t>https://docs.google.com/document/d/1-opk_sBx_lDHkVqf8APVDfvIh3mvlj10/edit#</t>
  </si>
  <si>
    <t>https://docs.google.com/document/d/1Xbc1HA5kamGsx31WRNKZDYFTOwyMCiYduwVKA2mNWsE/edit#heading=h.32e7gxn6ztmt</t>
  </si>
  <si>
    <t>Working Group (WG)</t>
  </si>
  <si>
    <t>https://docs.google.com/document/d/1gCX7wuxcol0bB34DWD_VhJ0it7Aww1algEeVeVDCWrw/edit?usp=sharing</t>
  </si>
  <si>
    <t xml:space="preserve">Diversity </t>
  </si>
  <si>
    <t>https://docs.google.com/document/d/1nQUCSv0YWMkRowrQU44uzVweUoCf0Cl8aUw78bj0V9o/edit#heading=h.32e7gxn6ztmt</t>
  </si>
  <si>
    <t>https://docs.google.com/document/d/1nQUCSv0YWMkRowrQU44uzVweUoCf0Cl8aUw78bj0V9o/edit</t>
  </si>
  <si>
    <t>Scienctifi Communication</t>
  </si>
  <si>
    <t>Alessia</t>
  </si>
  <si>
    <t>Alessia Paccagnini &lt;alessia.paccagnini@ucd.ie&gt;</t>
  </si>
  <si>
    <t>DOI of work (paper or anything else)</t>
  </si>
  <si>
    <t>Added to e-cost tools?</t>
  </si>
  <si>
    <t xml:space="preserve">Email of Contact person </t>
  </si>
  <si>
    <t>Added to online report? (Yiting)</t>
  </si>
  <si>
    <t>COST Acknowledgement</t>
  </si>
  <si>
    <t>Citation (ONLY IF NO DOI up to now, otherwise, not needed)</t>
  </si>
  <si>
    <t>10.13189/ujaf.2020.080402</t>
  </si>
  <si>
    <t>llesh.lleshaj@unitir.edu.al</t>
  </si>
  <si>
    <t>N</t>
  </si>
  <si>
    <t>no</t>
  </si>
  <si>
    <t>Llesh Lleshaj , Alban Korbi (2020). Portfolio Selection and VaR Estimation: Evidence from Western Balkan Countries. Universal Journal of Accounting and Finance, 8(4), 92 - 102. DOI: 10.13189/ujaf.2020.080402.</t>
  </si>
  <si>
    <t>10.34109/ijefs.20220026</t>
  </si>
  <si>
    <t>anila.voci@uniel.edu.al</t>
  </si>
  <si>
    <t>Çekrezi, A. V. (2022). Determinants of Bank Deposits in Albania. International Journal of Economics and Finance Studies, 14 (02), 101-121. doi:10.34111/ijefs. 20220026</t>
  </si>
  <si>
    <t>10.37394/23207.2021.18.102</t>
  </si>
  <si>
    <t>rezarta.perri@unitir.edu.al</t>
  </si>
  <si>
    <t>Rezarta Shkurti, Elfrida Manoku, "Factors of Success in Implementation of Enterprise Resource Planning Systems," WSEAS Transactions on Business and Economics, vol. 18, pp. 1084-1093, 2021</t>
  </si>
  <si>
    <t>N/A</t>
  </si>
  <si>
    <t>Xhumari, E., Maxhelaku, S., &amp; Xhina, E. (2022, July). A review of Knowledge Graph and Graph Neural Network application. In Proceedings of Economics and Finance Conferences (No. 13615626). International Institute of Social and Economic Sciences.</t>
  </si>
  <si>
    <t>Xhumari E. COMPARING THE TECHNOLOGIES USED FOR THE APPLICATION OF ARTIFICIAL NEURAL NETWORKS. European Journal of Computer Science and Information Technology
Vol.9, No.2, pp.21-28, 2021</t>
  </si>
  <si>
    <t>https://link.springer.com/article/10.1007/s42521-022-00054-w</t>
  </si>
  <si>
    <t>Hafner, C.M., Majeri, S. Analysis of cryptocurrency connectedness based on network to transaction volume ratios. Digit Finance (2022). https://doi.org/10.1007/s42521-022-00054-w</t>
  </si>
  <si>
    <t>https://academic.oup.com/jfec/article/18/2/233/5133597</t>
  </si>
  <si>
    <t>Christian M Hafner, Testing for Bubbles in Cryptocurrencies with Time-Varying Volatility, Journal of Financial Econometrics, Volume 18, Issue 2, Spring 2020, Pages 233–249, https://doi.org/10.1093/jjfinec/nby023</t>
  </si>
  <si>
    <t>https://www.mdpi.com/1911-8074/12/2/53</t>
  </si>
  <si>
    <t>Chen, C.Y.-H.; Hafner, C.M. Sentiment-Induced Bubbles in the Cryptocurrency Market. J. Risk Financial Manag. 2019, 12, 53. https://doi.org/10.3390/jrfm12020053</t>
  </si>
  <si>
    <t>https://link.springer.com/content/pdf/10.1007/978-3-030-51093-0.pdf</t>
  </si>
  <si>
    <t>Y</t>
  </si>
  <si>
    <t>Van der Auwera, E., Schoutens, W., Giudici, M. P., &amp; Alessi, L. (2020). Financial Risk Management for Cryptocurrencies. Springer International Publishing.</t>
  </si>
  <si>
    <t>not yet available</t>
  </si>
  <si>
    <t>yes</t>
  </si>
  <si>
    <t>Lin, Wang, Bocart, Hafner, Haerdle (2022) DAI: Digital Art Index, forthcoming</t>
  </si>
  <si>
    <t>domagoj.sajter@efos.hr</t>
  </si>
  <si>
    <r>
      <rPr>
        <rFont val="Arial"/>
        <color theme="1"/>
        <sz val="10.0"/>
      </rPr>
      <t xml:space="preserve">Sajter, D. (2022, May 5–6). </t>
    </r>
    <r>
      <rPr>
        <rFont val="Arial"/>
        <i/>
        <color theme="1"/>
        <sz val="10.0"/>
      </rPr>
      <t xml:space="preserve">Overseas Transaction Fees: Sending Money via Bitcoin vs. Banks </t>
    </r>
    <r>
      <rPr>
        <rFont val="Arial"/>
        <color theme="1"/>
        <sz val="10.0"/>
      </rPr>
      <t xml:space="preserve">[Paper presentation]. Technology, Innovation and Stability: New Directions in Finance (TINFIN), Zagreb, Croatia.
</t>
    </r>
  </si>
  <si>
    <t>bozena.gulija@outlook.com</t>
  </si>
  <si>
    <r>
      <rPr>
        <rFont val="Arial"/>
        <color theme="1"/>
        <sz val="10.0"/>
      </rPr>
      <t xml:space="preserve">Gulija, B., Kammel, A., &amp; Payr, T. (2022, May 5–6). </t>
    </r>
    <r>
      <rPr>
        <rFont val="Arial"/>
        <i/>
        <color theme="1"/>
        <sz val="10.0"/>
      </rPr>
      <t>Prudential Regulation of Fintechs</t>
    </r>
    <r>
      <rPr>
        <rFont val="Arial"/>
        <color theme="1"/>
        <sz val="10.0"/>
      </rPr>
      <t xml:space="preserve"> [Paper presentation]. Technology, Innovation and Stability: New Directions in Finance (TINFIN), Zagreb, Croatia.</t>
    </r>
  </si>
  <si>
    <r>
      <rPr>
        <rFont val="Arial"/>
        <color theme="1"/>
        <sz val="10.0"/>
      </rPr>
      <t xml:space="preserve">Simurina, N., Kurnoga, N., &amp; Fuckan, F. (2022, May 5–6). </t>
    </r>
    <r>
      <rPr>
        <rFont val="Arial"/>
        <i/>
        <color theme="1"/>
        <sz val="10.0"/>
      </rPr>
      <t>Performance differences between ESG indices and traditional indices</t>
    </r>
    <r>
      <rPr>
        <rFont val="Arial"/>
        <color theme="1"/>
        <sz val="10.0"/>
      </rPr>
      <t xml:space="preserve"> [Paper presentation]. Technology, Innovation and Stability: New Directions in Finance (TINFIN), Zagreb, Croatia.</t>
    </r>
  </si>
  <si>
    <r>
      <rPr>
        <rFont val="Arial"/>
        <color theme="1"/>
        <sz val="10.0"/>
      </rPr>
      <t xml:space="preserve">Dzelalija, P., &amp; Ivanisevic Hernaus, A. (2022, August 22–24). </t>
    </r>
    <r>
      <rPr>
        <rFont val="Arial"/>
        <i/>
        <color theme="1"/>
        <sz val="10.0"/>
      </rPr>
      <t>From perceived mobility to the intention to use mobile payments: A moderated mediation analysis</t>
    </r>
    <r>
      <rPr>
        <rFont val="Arial"/>
        <color theme="1"/>
        <sz val="10.0"/>
      </rPr>
      <t xml:space="preserve"> [Paper presentation]. FinanceCom 2022: 11th International Workshop, Enterprise Applications, Markets and Services in the Finance Industry, University of Twente, the Netherlands.
</t>
    </r>
  </si>
  <si>
    <r>
      <rPr>
        <rFont val="Arial"/>
        <color theme="1"/>
        <sz val="10.0"/>
      </rPr>
      <t xml:space="preserve">Ivanisevic Hernaus, A., Kristo, J., &amp; Rako, R. (2022, May 5–6). </t>
    </r>
    <r>
      <rPr>
        <rFont val="Arial"/>
        <i/>
        <color theme="1"/>
        <sz val="10.0"/>
      </rPr>
      <t xml:space="preserve">ESG-Related Challenges in the Insurance Industry: A Multi-stakeholder Perspective </t>
    </r>
    <r>
      <rPr>
        <rFont val="Arial"/>
        <color theme="1"/>
        <sz val="10.0"/>
      </rPr>
      <t>[Paper presentation]. Technology, Innovation and Stability: New Directions in Finance (TINFIN), Zagreb, Croatia.</t>
    </r>
  </si>
  <si>
    <t>https://doi.org/10.2478/crebss-2020-0007</t>
  </si>
  <si>
    <t>https://doi.org/10.4324/9781003144410-8</t>
  </si>
  <si>
    <t>https://doi.org/10.4018/978-1-7998-5083-0.ch010</t>
  </si>
  <si>
    <r>
      <rPr>
        <rFont val="Arial"/>
        <color theme="1"/>
        <sz val="10.0"/>
      </rPr>
      <t xml:space="preserve">Vlah Jeric, S. (2022, March 10–11). </t>
    </r>
    <r>
      <rPr>
        <rFont val="Arial"/>
        <i/>
        <color theme="1"/>
        <sz val="10.0"/>
      </rPr>
      <t xml:space="preserve">Time interval choices in forecasting direction of stock price changes using technical indicators </t>
    </r>
    <r>
      <rPr>
        <rFont val="Arial"/>
        <color theme="1"/>
        <sz val="10.0"/>
      </rPr>
      <t>[Paper presentation]. 29th Symposium of the Society for Nonlinear Dynamics &amp; Econometrics, SNDE online.</t>
    </r>
  </si>
  <si>
    <r>
      <rPr>
        <rFont val="Arial"/>
        <color theme="1"/>
        <sz val="10.0"/>
      </rPr>
      <t xml:space="preserve">Vlah Jeric, S. (2022, May 5–6). </t>
    </r>
    <r>
      <rPr>
        <rFont val="Arial"/>
        <i/>
        <color theme="1"/>
        <sz val="10.0"/>
      </rPr>
      <t>Time Interval Choices in The Performance Estimation of Forecasting Direction Of Stock Price Changes</t>
    </r>
    <r>
      <rPr>
        <rFont val="Arial"/>
        <color theme="1"/>
        <sz val="10.0"/>
      </rPr>
      <t xml:space="preserve"> [Paper presentation]. Technology, Innovation and Stability: New Directions in Finance (TINFIN), Zagreb, Croatia.</t>
    </r>
  </si>
  <si>
    <r>
      <rPr>
        <rFont val="Arial"/>
        <i val="0"/>
        <color theme="1"/>
        <sz val="10.0"/>
      </rPr>
      <t>Vlah Jeric, S. (2020, September 23–25).</t>
    </r>
    <r>
      <rPr>
        <rFont val="Arial"/>
        <i/>
        <color theme="1"/>
        <sz val="10.0"/>
      </rPr>
      <t xml:space="preserve"> Evaluation of Classification Algorithms for Prediction of Stock Market Index in Day Trading </t>
    </r>
    <r>
      <rPr>
        <rFont val="Arial"/>
        <i val="0"/>
        <color theme="1"/>
        <sz val="10.0"/>
      </rPr>
      <t>[Paper presentation]. The 28th Annual Symposium of the Society for Nonlinear Dynamics and Econometrics, Zagreb, Croatia.</t>
    </r>
  </si>
  <si>
    <r>
      <rPr>
        <rFont val="Arial"/>
        <i val="0"/>
        <color theme="1"/>
        <sz val="10.0"/>
      </rPr>
      <t xml:space="preserve">Vlah Jeric, S. (2020, October 15–16). </t>
    </r>
    <r>
      <rPr>
        <rFont val="Arial"/>
        <i/>
        <color theme="1"/>
        <sz val="10.0"/>
      </rPr>
      <t>Comparing classification algorithms for prediction on CROBEX data</t>
    </r>
    <r>
      <rPr>
        <rFont val="Arial"/>
        <i val="0"/>
        <color theme="1"/>
        <sz val="10.0"/>
      </rPr>
      <t xml:space="preserve"> [Paper presentation]. The 3rd International Statistical Conference in Croatia – ISCCRO'20, Zagreb, Croatia.</t>
    </r>
  </si>
  <si>
    <t xml:space="preserve">Sajter, D., &amp; Binder, B. (2020). Market Risks of the Cryptocurrency Index CRIX in Relation to S&amp;P 500. In: J. Tica &amp; K. Bacic (Eds.) Ekonomska politika Hrvatske u 2021. (pp. 192-206). Hrvatsko drustvo ekonomista, Zagreb, Croatia. [in Croatian] </t>
  </si>
  <si>
    <r>
      <rPr>
        <rFont val="Arial"/>
        <color theme="1"/>
        <sz val="10.0"/>
      </rPr>
      <t xml:space="preserve">Gulija, B. (2022, June 4). Global Initiatives Regarding Prudential Treatment Of Banks’ Cryptoasset Exposures. </t>
    </r>
    <r>
      <rPr>
        <rFont val="Arial"/>
        <i/>
        <color theme="1"/>
        <sz val="10.0"/>
      </rPr>
      <t>Financial Regulation International, 25 (3).</t>
    </r>
    <r>
      <rPr>
        <rFont val="Arial"/>
        <color theme="1"/>
        <sz val="10.0"/>
      </rPr>
      <t xml:space="preserve"> https://www.financialregulationintl.com/financial-industry/global-initiatives-regarding-prudential-treatment-of-banks-cryptoasset-exposures--1.htm</t>
    </r>
  </si>
  <si>
    <t>doi.org/10.1007/s11634-022-00508-4</t>
  </si>
  <si>
    <t>doi.org/10.1016/j.eswa.2022.117423</t>
  </si>
  <si>
    <t>doi.org/10.1016/j.ejor.2021.12.022</t>
  </si>
  <si>
    <t>doi.org/10.1016/j.omega.2021.102543</t>
  </si>
  <si>
    <t>doi.org/10.1016/j.eswa.2021.115245</t>
  </si>
  <si>
    <t>doi.org/10.1016/j.ejor.2021.04.016</t>
  </si>
  <si>
    <t>doi.org/10.1016/j.cor.2021.105281</t>
  </si>
  <si>
    <t>doi.org/10.1007/s11750-021-00594-1</t>
  </si>
  <si>
    <t>doi.org/10.1080/00273171.2019.1677208</t>
  </si>
  <si>
    <t>doi.org/10.1016/j.omega.2019.05.004</t>
  </si>
  <si>
    <t>doi.org/10.1016/j.ejor.2019.12.002</t>
  </si>
  <si>
    <t>https://doi.org/10.1007/978-981-16-2418-6</t>
  </si>
  <si>
    <t>* not included in the last reporting period</t>
  </si>
  <si>
    <t>https://doi.org/10.1016/j.intfin.2021.101321</t>
  </si>
  <si>
    <t>https://doi.org/10.1016/j.irfa.2021.101958</t>
  </si>
  <si>
    <t>https://doi.org/10.1080/1351847X.2020.1869992</t>
  </si>
  <si>
    <t>https://doi.org/10.1080/00036846.2020.1854671</t>
  </si>
  <si>
    <t>https://doi.org/10.1016/j.frl.2019.101405</t>
  </si>
  <si>
    <t>https://doi.org/10.1016/j.qref.2020.02.004</t>
  </si>
  <si>
    <t>https://www.jstor.org/stable/48618930</t>
  </si>
  <si>
    <t>France, Ireland</t>
  </si>
  <si>
    <t>https://doi.org/10.1016/j.frl.2021.102162</t>
  </si>
  <si>
    <t>Jalan, A., Matkovskyy, R., and Poti, V. (2022). "Shall the winning last? A study of recent bubbles and persistence." Finance Research Letters 45, 102162</t>
  </si>
  <si>
    <t>https://doi.org/10.1016/j.econlet.2022.110877</t>
  </si>
  <si>
    <t>Jalan, A., Matkovskyy, R., Urquhart, A. (2022) Demand elasticities of Bitcoin and Ethereum. Economics Letters</t>
  </si>
  <si>
    <t>https://doi.org/10.1007/s42521-021-00045-3</t>
  </si>
  <si>
    <t>Chen, Y., Bredin, D., Potì, V. and R. Matkovskyy, COVID risk narratives: a computational linguistic approach to the econometric identification of narrative risk during a pandemic, Digital Finance 4, pages 17-61, 2022.</t>
  </si>
  <si>
    <t>https://doi.org/10.1214/20-AOS2019</t>
  </si>
  <si>
    <t>https://doi.org/10.1080/14697688.2021.1880023</t>
  </si>
  <si>
    <t>https://doi.org/10.1016/j.jspi.2020.10.007</t>
  </si>
  <si>
    <t>https://doi.org/10.1111/rssc.12499</t>
  </si>
  <si>
    <t>https://doi.org/10.1016/j.jedc.2021.104290</t>
  </si>
  <si>
    <t>https://doi.org/10.1016/j.irfa.2021.101915</t>
  </si>
  <si>
    <t>http://dx.doi.org/10.2139/ssrn.3724814</t>
  </si>
  <si>
    <t>https://doi.org/10.1007/s42521-021-00031-9</t>
  </si>
  <si>
    <t>https://doi.org/10.1007/s42521-021-00043-5</t>
  </si>
  <si>
    <t>https://doi.org/10.1007/s43546-021-00057-6</t>
  </si>
  <si>
    <t>https://doi.org/10.1007/978-3-030-73443-5_94-1</t>
  </si>
  <si>
    <t>https://doi.org/10.48550/arXiv.2208.12614</t>
  </si>
  <si>
    <t>https://doi.org/10.1016/j.ribaf.2021.101594</t>
  </si>
  <si>
    <t>http://dx.doi.org/10.2139/ssrn.3809329</t>
  </si>
  <si>
    <t>https://doi.org/10.48550/arXiv.2107.08808</t>
  </si>
  <si>
    <t>https://dx.doi.org/10.2139/ssrn.3911490</t>
  </si>
  <si>
    <t>https://doi.org/10.1007/s42521-022-00048-8</t>
  </si>
  <si>
    <t>https://doi.org/10.1007/s10614-021-10113-w</t>
  </si>
  <si>
    <t>http://dx.doi.org/10.2139/ssrn.3987941</t>
  </si>
  <si>
    <t>http://dx.doi.org/10.2139/ssrn.4209433</t>
  </si>
  <si>
    <t>https://doi.org/10.1142/S0217590822480010</t>
  </si>
  <si>
    <t>https://doi.org/10.48550/arXiv.2108.05721</t>
  </si>
  <si>
    <t>https://doi.org/10.1016/j.jmva.2021.104869</t>
  </si>
  <si>
    <t>http://dx.doi.org/10.2139/ssrn.4079006</t>
  </si>
  <si>
    <r>
      <rPr>
        <color rgb="FF1155CC"/>
        <sz val="10.0"/>
        <u/>
      </rPr>
      <t>https://doi.org/10.48550/arXiv.2204.0275</t>
    </r>
    <r>
      <rPr>
        <sz val="10.0"/>
      </rPr>
      <t>7</t>
    </r>
  </si>
  <si>
    <t>https://doi.org/10.1007/s00181-021-02027-1</t>
  </si>
  <si>
    <t>http://dx.doi.org/10.2139/ssrn.4150849</t>
  </si>
  <si>
    <t>https://doi.org/10.48550/arXiv.2110.09429</t>
  </si>
  <si>
    <t>https://doi.org/10.48550/arXiv.2108.11921</t>
  </si>
  <si>
    <t>10.6293/AQAFA.202112_(18).0006</t>
  </si>
  <si>
    <t>MB Lin, K. Khowaja, CYH Chen, WK Härdle (2021) Blockchain mechanism and distributional characteristics of cryptos , Advances in Quantitative Analysis of Finance &amp; Accounting (AQAFA), Vol. 18, DOI：10.6293/AQAFA.202112_(18).0006</t>
  </si>
  <si>
    <t>http://dx.doi.org/10.2139/ssrn.3912753</t>
  </si>
  <si>
    <t>https://doi.org/10.48550/arXiv.2103.08447</t>
  </si>
  <si>
    <t>https://doi.org/10.1007/s42521-022-00064-8</t>
  </si>
  <si>
    <t>https://doi.org/10.1016/j.jcomm.2021.100189</t>
  </si>
  <si>
    <t>https://doi.org/10.48550/arXiv.2101.10189</t>
  </si>
  <si>
    <t>K  Khowaja, M Shcherbatyy, WK Härdle (2021) Surrogate Models for Optimization of Dynamical Systems, "Foundations of Modern Statistics", Springer Proceedings in Mathematics &amp; Statistics, to appear 2022</t>
  </si>
  <si>
    <t>https://doi.org/10.48550/arXiv.2108.11915</t>
  </si>
  <si>
    <t>https://doi.org/10.1016/j.jmva.2021.104881</t>
  </si>
  <si>
    <t>J Bender, A Petukhina (2022) Portfolio Diversification based on Risk Profile Clustering, submitted</t>
  </si>
  <si>
    <t>http://dx.doi.org/10.2139/ssrn.3699345</t>
  </si>
  <si>
    <t>Germany/Romania</t>
  </si>
  <si>
    <t>https://doi.org/10.1080/1351847X.2021.1960403</t>
  </si>
  <si>
    <t>https://doi.org/10.1007/978-3-031-15743-1_11</t>
  </si>
  <si>
    <r>
      <rPr>
        <color rgb="FF000000"/>
        <sz val="10.0"/>
        <u/>
      </rPr>
      <t>@InProceedings{PisoniKherboucheMolnar2022,
  author           = {Galena Pisoni and Meriem Kherbouche and Bálint Molnár},
  booktitle        = {4th International Congress on Blockchain and Applications},
  title            = {Blockchain-based business process management (BPM) for finance: the case of loan-application},
  year             = {2022},
  address          = {University of L'Aquila Department of Human Sciences Viale Nizza, 14, 67100 L'Aquila AQ, Italy},
  month            = jul,
  publisher        = {Springer International Publishing},
  comments         = {accepted},
  eprint           = {</t>
    </r>
    <r>
      <rPr>
        <color rgb="FF1155CC"/>
        <sz val="10.0"/>
        <u/>
      </rPr>
      <t>https://www.researchgate.net/publication/362223415_Blockchain-based_business_process_management_BPM_for_finance_the_case_of_loan-application</t>
    </r>
    <r>
      <rPr>
        <color rgb="FF000000"/>
        <sz val="10.0"/>
        <u/>
      </rPr>
      <t>},
  modificationdate = {2022-09-11T11:19:10},
  url              = {https://link.springer.com/conference/blockchain},
}</t>
    </r>
  </si>
  <si>
    <t>https://doi.org/10.1007/s42521-022-00066-6</t>
  </si>
  <si>
    <t>https://doi.org/10.1016/j.ijforecast.2022.01.005</t>
  </si>
  <si>
    <t>Coroneo, L., Iacone, F., Paccagnini, A., &amp; Monteiro, P. S. (2022). Testing the predictive accuracy of COVID-19 forecasts. International journal of forecasting.</t>
  </si>
  <si>
    <t>https://doi.org/10.1016/j.jcomm.2021.100240</t>
  </si>
  <si>
    <t>Kwas, M., Paccagnini, A., &amp; Rubaszek, M. (2022). Common factors and the dynamics of cereal prices. A forecasting perspective. Journal of Commodity Markets, 100240.</t>
  </si>
  <si>
    <t>https://doi.org/10.1016/j.resourpol.2021.102319</t>
  </si>
  <si>
    <t>Kwas, M., Paccagnini, A., &amp; Rubaszek, M. (2021). Common factors and the dynamics of industrial metal prices. A forecasting perspective. Resources Policy, 74, 102319.</t>
  </si>
  <si>
    <t>https://doi.org/10.1016/j.ijforecast.2020.10.002</t>
  </si>
  <si>
    <t>Arvanitis, S., Post, T. Potì, V. and S. Karabati, Nonparametric tests for Optimal Predictive Ability, International Journal of Forecasting, Volume 37, Issue 2, 2021, Pages 881-898.</t>
  </si>
  <si>
    <t>https://doi.org/10.1016/j.ijforecast.2021.11.001</t>
  </si>
  <si>
    <t>Petropoulos, Fotios, et al. "Forecasting: theory and practice." International Journal of Forecasting (2022).</t>
  </si>
  <si>
    <t>https://doi.org/10.3390/forecast3030030</t>
  </si>
  <si>
    <t>Paccagnini, A. (2021). Editorial for Special Issue “New Frontiers in Forecasting the Business Cycle and Financial Markets”. Forecasting, 3(3), 498-500.</t>
  </si>
  <si>
    <t>https://doi.org/10.1007/s10551-021-04842-z</t>
  </si>
  <si>
    <t>Bredin, D., Potì, V. &amp; Salvador, E. Food Prices, Ethics and Forms of Speculation. J Bus Ethics 179, 495–509 (2022).</t>
  </si>
  <si>
    <t>https://doi.org/10.1016/j.econlet.2022.110734</t>
  </si>
  <si>
    <t>Caferra, R., Morone, A. and V. Potì, Crypto-environment network connectivity and Bitcoin returns distribution tail behaviour, Economics Letters, Volume 218, 2022.</t>
  </si>
  <si>
    <t>https://doi.org/10.1007/s42521-022-00060-y</t>
  </si>
  <si>
    <t>https://dx.doi.org/10.2139/ssrn.4173890</t>
  </si>
  <si>
    <t>Bussmann, N., Tanda, A., &amp; Yu, E. P. Y. (2022). Can ESG Shape Cost of Capital? A Bibliometric Review and Empirical Analysis Through ML. A Bibliometric Review and Empirical Analysis Through ML (July 27, 2022).</t>
  </si>
  <si>
    <t>https://doi.org/10.1016/j.frl.2022.103411</t>
  </si>
  <si>
    <t>alberto.citterio@uninsubria.it</t>
  </si>
  <si>
    <t>Citterio A., King T. (2022) The role of Environmental, Social, and Governance (ESG) in predicting bank financial distress</t>
  </si>
  <si>
    <t>italy</t>
  </si>
  <si>
    <t>https://doi.org/10.1007/s42521-022-00055-9</t>
  </si>
  <si>
    <t>https://doi.org/10.1016/j.eswa.2021.116261</t>
  </si>
  <si>
    <t>https://doi.org/10.1016/j.frl.2022.102941</t>
  </si>
  <si>
    <t>https://doi.org/10.1016/j.eswa.2020.114104</t>
  </si>
  <si>
    <t>na</t>
  </si>
  <si>
    <t>(2022). David Aristei, Silvia Bacci, Manuela Gallo, Maria Iannario. Multidimensional latent mixed models for don’t know responses in panel data</t>
  </si>
  <si>
    <t>ctaranto@unipv.it</t>
  </si>
  <si>
    <t>(2022) Facchinetti, S., Osmetti, S. e Tarantola, C. A statistical approach for assessing cyber risk via ordered response models.</t>
  </si>
  <si>
    <t>https://doi.org/10.1007/s42521-022-00062-w</t>
  </si>
  <si>
    <t>Kabasinskas, A. Discussion on: “Programmable money: next generation blockchain based conditional payments” by Ingo Weber and Mark Staples. Digit Finance 4, 135 (2022). https://doi.org/10.1007/s42521-022-00062-w</t>
  </si>
  <si>
    <t>https://doi.org/10.3390/math9172086</t>
  </si>
  <si>
    <t>Serapinaitė, V.; Kabašinskas, A. Clustering of Latvian Pension Funds Using Convolutional Neural Network Extracted Features. Mathematics 2021, 9, 2086. https://doi.org/10.3390/math9172086</t>
  </si>
  <si>
    <t>https://doi.org/10.3389/frai.2022.827584</t>
  </si>
  <si>
    <t>Cerneviciene J and Kabašinskas A (2022) Review of Multi-Criteria Decision-Making Methods in Finance Using Explainable Artificial Intelligence. Front. Artif. Intell. 5:827584. doi: 10.3389/frai.2022.827584</t>
  </si>
  <si>
    <t xml:space="preserve">https://doi.org/10.15388/DAMSS.13.2022 </t>
  </si>
  <si>
    <t xml:space="preserve">Černevičienė, Jurgita; Kabašinskas, Audrius. On multi-criteria decision-making methods in finance using explainable artificial intelligence // DAMSS 2022: 13th conference on data analysis methods for software systems, Druskininkai, Lithuania, December 1–3, 2022 / Lithuanian computer society, Vilnius university Institute of data science and digital technologies, Lithuanian academy of sciences. Vilnius : Vilnius university press, 2022. ISBN 9786090707944. eISBN 9786090707951. p. 15. (Vilnius university proceedings,
eISSN 2669-0233). 
</t>
  </si>
  <si>
    <t>https://doi.org/10.1007/s42521-022-00065-7</t>
  </si>
  <si>
    <t>https://doi.org/10.1016/j.apenergy.2022.119182</t>
  </si>
  <si>
    <t>Ahmad Amine Loutfi, Mengtao Sun, Ijlal Loutfi and Per Bjarte Solibakke, (2022), Empirical study of day-ahead electricity spot-price forecasting: Insights into a novel loss function for training neural networks</t>
  </si>
  <si>
    <t>https://doi.org/10.3390/en15103839</t>
  </si>
  <si>
    <t>Solibakke, Per Bjarte, (2022), Projecting and Forecasting Stochastic Volatility Characteristics for the Nasdaq OMX Nordic/Baltic Financial Electricity Markets</t>
  </si>
  <si>
    <t>https://doi.org/10.1504/IJCEE.2021.10043332</t>
  </si>
  <si>
    <t>Solibakke, Per Bjarte, (2022), Bootstrapped Nonlinear Impulse-Response Analysis: The FTSE100 (UK) and the NDX100 (US) Indices 2012-2021</t>
  </si>
  <si>
    <t>https://doi.org/10.1007/978-3-030-56219-9_9</t>
  </si>
  <si>
    <t>Solibakke, Per Bjarte, (2020), Stochastic Volatility Models Predictive Relevance for Equity Market</t>
  </si>
  <si>
    <t>https://doi.org/10.3389/frai.2021.718450</t>
  </si>
  <si>
    <t>Karimov Bedil and Wójcik Piotr (2021), Frontiers in Artificial Intelligence, section Artificial Intelligence in Finance</t>
  </si>
  <si>
    <t>https://doi.org/10.1007/978-3-031-16474-3_40</t>
  </si>
  <si>
    <t>C. Silva, B. Ribeiro and A. Morais, A Generic Approach to Extend Interpretability of Deep Networks, in Progress in Artificial Intelligence, pp. 488–499-488–499, 2022</t>
  </si>
  <si>
    <t>10.1007/978-3-030-93286-2_7</t>
  </si>
  <si>
    <t>https://doi.org/10.1007/978-981-16-2765-1_6</t>
  </si>
  <si>
    <t>https://doi.org/10.3390/risks9060116</t>
  </si>
  <si>
    <t>codruta.mare@econ.ubbcluj.ro</t>
  </si>
  <si>
    <t>https://doi.org/10.3390/risks9060104</t>
  </si>
  <si>
    <t>https://doi.org/10.3390/math10193625 (registering DOI)</t>
  </si>
  <si>
    <t>Mare, C.; Manaţe, D.; Mureşan, G.-M.; Dragoş, S.L.; Dragoş, C.M.; Purcel, A.-A. Machine Learning Models for Predicting Romanian Farmers’ Purchase of Crop Insurance. Mathematics 2022, 10, 3625. https://doi.org/10.3390/math10193625</t>
  </si>
  <si>
    <t>https://doi.org/10.1007/s10198-022-01506-1</t>
  </si>
  <si>
    <t>no, problems in the publishing process, waiting for the journal to correct the mistake</t>
  </si>
  <si>
    <r>
      <rPr>
        <rFont val="Arial"/>
        <color rgb="FF333333"/>
        <sz val="12.0"/>
      </rPr>
      <t xml:space="preserve">Mureșan, GM., Văidean, VL., Mare, C. et al. Were we happy and we didn’t know it? A subjective dynamic and financial assessment pre-, during and post-COVID-19. Eur J Health Econ (2022). </t>
    </r>
    <r>
      <rPr>
        <rFont val="Arial"/>
        <color rgb="FF1155CC"/>
        <sz val="12.0"/>
        <u/>
      </rPr>
      <t>https://doi.org/10.1007/s10198-022-01506-1</t>
    </r>
  </si>
  <si>
    <t>doi.org/10.15308/finiz-2020-97-102</t>
  </si>
  <si>
    <t>https://doi.org/10.1016/j.ipm.2021.102848</t>
  </si>
  <si>
    <t>Hudec M., Mináriková E., Schwarz D., Fivaz J. (2022). Estimating linguistic summaries on the unit interval data. WCCI2022 IEEE World Congress on Computational Intelligence, Padua, July 18-23 (expected in WoS, Scopus and IEEE eXplore),</t>
  </si>
  <si>
    <t>Slovakia and Serbia</t>
  </si>
  <si>
    <t>https://doi.org/10.1016/j.elerap.2021.101079</t>
  </si>
  <si>
    <t>Ariza-Garzón, M.J., Camacho-Miñano, M.M., Segovia-Vargas, M.J., Arroyo, J. (2021) "Risk-return modelling in the p2p lending market: Trends, gaps, recommendations and future directions". Electronic Commerce Research and Applications, Volume 49, 101079.</t>
  </si>
  <si>
    <t>https://doi.org/10.1186/s40854-021-00310-9</t>
  </si>
  <si>
    <t>Lorenzo, L., Arroyo, J. (2022) "Analysis of the cryptocurrency market using different prototype-based clustering techniques". Financial Innovation 8, 7.</t>
  </si>
  <si>
    <t>https://doi.org/10.1007/s42521-022-00063-9</t>
  </si>
  <si>
    <t>joerg.osterrieder@bfh.ch</t>
  </si>
  <si>
    <t>https://doi.org/10.2139/ssrn.3796351</t>
  </si>
  <si>
    <t>https://doi.org/10.3389/frai.2021.668465</t>
  </si>
  <si>
    <t>https://doi.org/10.2139/ssrn.3865019</t>
  </si>
  <si>
    <t>https://doi.org/10.2139/ssrn.3867800</t>
  </si>
  <si>
    <t>https://doi.org/10.2139/ssrn.3864965</t>
  </si>
  <si>
    <t>https://doi.org/10.2139/ssrn.3864867</t>
  </si>
  <si>
    <t>https://doi.org/10.2139/ssrn.3898792</t>
  </si>
  <si>
    <t>https://doi.org/10.3389/frai.2021.794996</t>
  </si>
  <si>
    <t>https://doi.org/10.2139/ssrn.3858730</t>
  </si>
  <si>
    <t>https://doi.org/10.2139/ssrn.4087569</t>
  </si>
  <si>
    <t>https://doi.org/10.3905/jfds.2022.1.109</t>
  </si>
  <si>
    <t>https://doi.org/10.3905/jfds.2021.1.078</t>
  </si>
  <si>
    <t>https://www.suerf.org/docx/f_b3101eef45fdacc2076e2043d1b3c39f_43507_suerf.pdf</t>
  </si>
  <si>
    <t>Hillebrand, Martin and Mravlak, Marko and Schwendner, Peter: "Investor demand in syndicated bond issuances: stylised facts" (April 2022). SUERF Policy Brief No 308. Available at www.suerf.org/suer-policy-brief/43507/investor-demand-in-syndicated-bond-issuances-stylised-facts</t>
  </si>
  <si>
    <t>UK</t>
  </si>
  <si>
    <t>https://doi.org/10.1111/corg.12454</t>
  </si>
  <si>
    <t>https://dx.doi.org/10.2139/ssrn.3890364</t>
  </si>
  <si>
    <t>https://dx.doi.org/10.2139/ssrn.4227111</t>
  </si>
  <si>
    <t>DOI</t>
  </si>
  <si>
    <t>COST acknowledgement</t>
  </si>
  <si>
    <t>Sajter, D. (2022, May 5–6). Overseas Transaction Fees: Sending Money via Bitcoin vs. Banks [Paper presentation]. Technology, Innovation and Stability: New Directions in Finance (TINFIN), Zagreb, Croatia.</t>
  </si>
  <si>
    <t>Gulija, B., Kammel, A., &amp; Payr, T. (2022, May 5–6). Prudential Regulation of Fintechs [Paper presentation]. Technology, Innovation and Stability: New Directions in Finance (TINFIN), Zagreb, Croatia.</t>
  </si>
  <si>
    <t>Simurina, N., Kurnoga, N., &amp; Fuckan, F. (2022, May 5–6). Performance differences between ESG indices and traditional indices [Paper presentation]. Technology, Innovation and Stability: New Directions in Finance (TINFIN), Zagreb, Croatia.</t>
  </si>
  <si>
    <t>Dzelalija, P., &amp; Ivanisevic Hernaus, A. (2022, August 22–24). From perceived mobility to the intention to use mobile payments: A moderated mediation analysis [Paper presentation]. FinanceCom 2022: 11th International Workshop, Enterprise Applications, Markets and Services in the Finance Industry, University of Twente, the Netherlands.</t>
  </si>
  <si>
    <t>Ivanisevic Hernaus, A., Kristo, J., &amp; Rako, R. (2022, May 5–6). ESG-Related Challenges in the Insurance Industry: A Multi-stakeholder Perspective [Paper presentation]. Technology, Innovation and Stability: New Directions in Finance (TINFIN), Zagreb, Croatia.</t>
  </si>
  <si>
    <t>https://doi.org/10.48550/arXiv.2204.02757</t>
  </si>
  <si>
    <t>K Khowaja, M Shcherbatyy, WK Härdle (2021) Surrogate Models for Optimization of Dynamical Systems, "Foundations of Modern Statistics", Springer Proceedings in Mathematics &amp; Statistics, to appear 2022</t>
  </si>
  <si>
    <t>@InProceedings{PisoniKherboucheMolnar2022,
 author = {Galena Pisoni and Meriem Kherbouche and Bálint Molnár},
 booktitle = {4th International Congress on Blockchain and Applications},
 title = {Blockchain-based business process management (BPM) for finance: the case of loan-application},
 year = {2022},
 address = {University of L'Aquila Department of Human Sciences Viale Nizza, 14, 67100 L'Aquila AQ, Italy},
 month = jul,
 publisher = {Springer International Publishing},
 comments = {accepted},
 eprint = {https://www.researchgate.net/publication/362223415_Blockchain-based_business_process_management_BPM_for_finance_the_case_of_loan-application},
 modificationdate = {2022-09-11T11:19:10},
 url = {https://link.springer.com/conference/blockchain},
 }</t>
  </si>
  <si>
    <t>Mureșan, GM., Văidean, VL., Mare, C. et al. Were we happy and we didn’t know it? A subjective dynamic and financial assessment pre-, during and post-COVID-19. Eur J Health Econ (2022). https://doi.org/10.1007/s10198-022-01506-1</t>
  </si>
  <si>
    <t>Kosovo</t>
  </si>
  <si>
    <t>DOI: 10.7441/dokbat.2021.42</t>
  </si>
  <si>
    <t xml:space="preserve">Shala, A., &amp; Berisha, V., " Analysis of FinTech in the banking industry: Opportunities and challenges in Central and Eastern European Countries" </t>
  </si>
  <si>
    <t>DOI: 10.47743/ejes-2021-0103</t>
  </si>
  <si>
    <t>Shala, A., &amp; Qehaja, A.B. "Bank provisioning behavior, procyclicality and capital management in south-eastern Europe"</t>
  </si>
  <si>
    <t>DOI: 10.18045/zbefri.2020.2.429</t>
  </si>
  <si>
    <t>Shala, A., Toci,V.,Ahmeti, S., "Income smoothing through loan loss provisions in south and eastern european banks"</t>
  </si>
  <si>
    <t>DOI: 10.11118/actaun201866051337</t>
  </si>
  <si>
    <t>Shala, A., Ismalji, H.&amp; Perri, Rr "A comparative study of prudential regulation on loan classification and provisioning of the South East European countries"</t>
  </si>
  <si>
    <r>
      <rPr/>
      <t xml:space="preserve">DOI: </t>
    </r>
    <r>
      <rPr>
        <color rgb="FF1155CC"/>
        <u/>
      </rPr>
      <t>https://doi.org/10.31577/ekoncas.2022.05.02</t>
    </r>
  </si>
  <si>
    <t>Shala, A., Toci, V., &amp; Mustafa A., "Macroeconomic, Structural, and Bank-specific Determinants of Non-performing Loans in Central and Eastern Europe"</t>
  </si>
  <si>
    <t>DOI: 10.31577/ekoncas.2021.01.01</t>
  </si>
  <si>
    <t>Shala, A. Toci, V. "Bank provisioning behavior, procyclicality and capital management in south-eastern Europe"</t>
  </si>
  <si>
    <t>https://sites.google.com/net.efzg.hr/tinfinconference/programme/book-of-abstracts</t>
  </si>
  <si>
    <t>Shala, A. Toci, V. " Risks of Fintech companies to Financial Stability: Regulatory and Supercision Practices in Central and Eastern Europe"</t>
  </si>
  <si>
    <t>Research proposals Submitted (granted, under evaluation, rejected. Please list all)</t>
  </si>
  <si>
    <t>Title</t>
  </si>
  <si>
    <t>Name and country of main proposer</t>
  </si>
  <si>
    <t>Number of proposers</t>
  </si>
  <si>
    <t>Action participants listed among the proposers: Name</t>
  </si>
  <si>
    <t>Action participants listed among the proposers: Country</t>
  </si>
  <si>
    <t>Proposers outside academia (Yes/ No)</t>
  </si>
  <si>
    <t>Funder (EU H2020, other EU, Trans-national, National, Industry, Other)</t>
  </si>
  <si>
    <t>Amount requested/ Granted (in EUR)</t>
  </si>
  <si>
    <t>Call identifier</t>
  </si>
  <si>
    <t>Year submitted</t>
  </si>
  <si>
    <t>Result (Under Evaluation, Not Funded, Funded)</t>
  </si>
  <si>
    <t>mandatory</t>
  </si>
  <si>
    <t>Defence and Security of the Nation (Nemzetvédelem, nemzetbiztonság alprogram (NVA)), sub-project for Finance and AI</t>
  </si>
  <si>
    <t>Hungary, Eötvös Loránd Tudományegyetem</t>
  </si>
  <si>
    <t>Bálint Molnár</t>
  </si>
  <si>
    <t>NATIONAL, NKFIH</t>
  </si>
  <si>
    <t>1 200 000 000 FT</t>
  </si>
  <si>
    <t xml:space="preserve">TKP2021-NVA-29, https://nkfih.gov.hu/palyazoknak/nkfi-alap/tamogatott-intezmenyek-tkp2021 </t>
  </si>
  <si>
    <t>Funded</t>
  </si>
  <si>
    <t xml:space="preserve">Bulgaria </t>
  </si>
  <si>
    <r>
      <rPr>
        <sz val="10.0"/>
      </rPr>
      <t xml:space="preserve">Flying Forest Fires Fighting (4F), EU project, “Emerging industries new value chains boosted by small Flying Objects” (UFO), financed by the INNOSUP component of the HORIZON 2020 programme of the European Commission under Grant Agreement 873411, </t>
    </r>
    <r>
      <rPr>
        <color rgb="FF1155CC"/>
        <sz val="10.0"/>
        <u/>
      </rPr>
      <t>https://eic.ec.europa.eu/news/ufo-emerging-industries-new-value-chains-boosted-small-flying-objects-2022-02-22_en</t>
    </r>
    <r>
      <rPr>
        <sz val="10.0"/>
      </rPr>
      <t xml:space="preserve">, smart service creation </t>
    </r>
  </si>
  <si>
    <t>Bulgaria, Comicon Ltd., Aleksandar Savov</t>
  </si>
  <si>
    <t xml:space="preserve">Rossitza Goleva </t>
  </si>
  <si>
    <t xml:space="preserve">yes </t>
  </si>
  <si>
    <t>EU H2020</t>
  </si>
  <si>
    <t>Grant Agreement 873411</t>
  </si>
  <si>
    <t xml:space="preserve">Funded  </t>
  </si>
  <si>
    <t>CRYPTO-CURRENCIES AND NORDIC YOUTH</t>
  </si>
  <si>
    <t>Roman Matkovskyy, France</t>
  </si>
  <si>
    <t>Roman Matkovskyy, Akanksha Jalan</t>
  </si>
  <si>
    <t>Trans-national, Nasdaq</t>
  </si>
  <si>
    <t>OEE Grand call 2022</t>
  </si>
  <si>
    <t>funded</t>
  </si>
  <si>
    <t>Youth savings behaviours: CRYPTOCURRENCIES AND THE EUROPEAN YOUTH</t>
  </si>
  <si>
    <t xml:space="preserve">National </t>
  </si>
  <si>
    <t>Grand call 2023</t>
  </si>
  <si>
    <t>under evaluation</t>
  </si>
  <si>
    <t>Gearing up for change (cryptocurrencies)</t>
  </si>
  <si>
    <t>Roman Matkovskyy, Akanksha Jalan and Raouf Boucekkine</t>
  </si>
  <si>
    <t>ANR</t>
  </si>
  <si>
    <t>rejected</t>
  </si>
  <si>
    <t>Enhancing Women’s empowerment through Small and Big data (W_STEM)</t>
  </si>
  <si>
    <t>Claudia Tarantola, Italy</t>
  </si>
  <si>
    <t>Claudia Tarantola, Maria Iannario, Alessandra Tanda,  Alessia Paccagnini; Codruta Mare</t>
  </si>
  <si>
    <t>Italy, Ireland, Romania</t>
  </si>
  <si>
    <t>KA220-HED</t>
  </si>
  <si>
    <t>KA220-HED - Cooperation partnerships in higher education</t>
  </si>
  <si>
    <t>Not Funded</t>
  </si>
  <si>
    <t>Latent variable models for complex categorical data structures (LAICS)</t>
  </si>
  <si>
    <t>Maria Iannario, Italy</t>
  </si>
  <si>
    <t>Maria Iannario</t>
  </si>
  <si>
    <t>National</t>
  </si>
  <si>
    <t>39.925,02 €</t>
  </si>
  <si>
    <t xml:space="preserve">Italy </t>
  </si>
  <si>
    <t>Latent variable models and dimensionality reduction methods for complex data</t>
  </si>
  <si>
    <t>PRIN2022</t>
  </si>
  <si>
    <t>Netherlands/Spain/Italy/Belgium</t>
  </si>
  <si>
    <t>ABC-EU-XVA</t>
  </si>
  <si>
    <t>Kees Oosterlee, Netherlands</t>
  </si>
  <si>
    <t>Kees Oosterlee, Carlos Vázquez</t>
  </si>
  <si>
    <t>Netherlands,Spain,Italy,Belgium</t>
  </si>
  <si>
    <t>EU H2020, MSCA EID-ITN Call</t>
  </si>
  <si>
    <t>HORIZON2020-MCSA-ITN-2018-EID  (Grant agreemente 813261)</t>
  </si>
  <si>
    <t>Machine Learning and Spatial Econometrics Deevelopments in Finance: the impact of Financial and Digital Literacy. Romania in International Context</t>
  </si>
  <si>
    <t>Codruta Mare, Romania</t>
  </si>
  <si>
    <t>Ioana Coita, Stefana Belbe</t>
  </si>
  <si>
    <t>PN-III-P1-1_1-TE-2021</t>
  </si>
  <si>
    <t>Using alternative data to buidlind risk scoring tools for the lending sector</t>
  </si>
  <si>
    <t>Coita Ioana, Romania</t>
  </si>
  <si>
    <t>Coita Ioana</t>
  </si>
  <si>
    <t>EU2020</t>
  </si>
  <si>
    <t>60.000EUR</t>
  </si>
  <si>
    <t xml:space="preserve">Building Tax Research platform for risk analysis in the banking secotor </t>
  </si>
  <si>
    <t>Coita Ioana, Codruta Mare, Romania</t>
  </si>
  <si>
    <t>EU funding</t>
  </si>
  <si>
    <t>200.000 EUR</t>
  </si>
  <si>
    <t>Erasmus+ project KA220-HED - Cooperation partnerships in higher education, KA220-HED-0B76953E - Enhancing Women’s empowerment through Small and Big Data (W_STEM),</t>
  </si>
  <si>
    <t>Explainable AI methods for riskmanagement of FinTechs</t>
  </si>
  <si>
    <t>Natalie Packham, Germany</t>
  </si>
  <si>
    <t>N Packham, A Petukhina</t>
  </si>
  <si>
    <t>IFAF Berlin call 2022</t>
  </si>
  <si>
    <t>Blockchain Research Center</t>
  </si>
  <si>
    <t>WK Härdle, Germany</t>
  </si>
  <si>
    <t>Daniel Pele, Claudio Tessone</t>
  </si>
  <si>
    <t>Berlin Universisty alliance</t>
  </si>
  <si>
    <t>IRTG 1792 extension 2022.10-2023.3</t>
  </si>
  <si>
    <t>DFG</t>
  </si>
  <si>
    <t>LASSA: discovering aberrant opinions, making minorities visible and reducing gender bias via principal expectiles</t>
  </si>
  <si>
    <t>Maria Osipenko, HWR</t>
  </si>
  <si>
    <t>Digital Asset Knowledge Proliferation (DAKP)</t>
  </si>
  <si>
    <t>ZHOU Chao, Singapore</t>
  </si>
  <si>
    <t>WK Härdle, V Strat, R Matkovskyy, HW Teng</t>
  </si>
  <si>
    <t>Trans-National</t>
  </si>
  <si>
    <t>NUS Asian Institute of Digital finance</t>
  </si>
  <si>
    <t>FinData: Financial data science Doctoral Network</t>
  </si>
  <si>
    <t>Valerio Poti, Ireland</t>
  </si>
  <si>
    <t>Valerio Poti, Joerg Osterrieder, Branka Hadji Misheva, WK Härdle and several others</t>
  </si>
  <si>
    <t>Ireland, Switzerland, Germany</t>
  </si>
  <si>
    <t>H2020-MSCA-ITN-2020</t>
  </si>
  <si>
    <t>HDFinance: High Dimensional Finance: joint challenge for academia and industry</t>
  </si>
  <si>
    <t>EU Horizon Europe</t>
  </si>
  <si>
    <t>HORIZON-MSCA-2021-DN-01</t>
  </si>
  <si>
    <t>Czechia</t>
  </si>
  <si>
    <t xml:space="preserve">Accelerating growth and stability of European P2P Lending </t>
  </si>
  <si>
    <t>Štefan Lyócsa, Czechia</t>
  </si>
  <si>
    <t xml:space="preserve">Oleg Deev, Tomáš Plíhal, Peter Schwendner, Joerg Osterrieder, Branka Hadji Misheva </t>
  </si>
  <si>
    <t>Switzerland, Czechia</t>
  </si>
  <si>
    <t>Czech Science Foundation and SNSF Lead Agency</t>
  </si>
  <si>
    <t xml:space="preserve">Network-based credit risk models on P2p lending markets </t>
  </si>
  <si>
    <t>Eduard Baumöhl, Czechia</t>
  </si>
  <si>
    <t xml:space="preserve">Štefan Lyócsa, Oleg Deev, Tomáš Plíhal, Peter Schwendner, Joerg Osterrieder, Branka Hadji Misheva </t>
  </si>
  <si>
    <t>Innovation voucher for CCF Research</t>
  </si>
  <si>
    <t>Tomáš Plíhal, Czechia</t>
  </si>
  <si>
    <t>Štefan Lyócsa, Oleg Deev</t>
  </si>
  <si>
    <t>Ministry of Industry and Trade, Czechia</t>
  </si>
  <si>
    <t>Analytical Platform 2.0</t>
  </si>
  <si>
    <t>Technological Agency of the Czech Republic</t>
  </si>
  <si>
    <t>Blockchain Fraud Detection</t>
  </si>
  <si>
    <t>Joerg Osterrieder, Switzerland</t>
  </si>
  <si>
    <t>Branka Hadji Misheva, Joerg Osterrieder, Stephen Chan</t>
  </si>
  <si>
    <t>Switzerland, UAE</t>
  </si>
  <si>
    <t>MENA Leading House</t>
  </si>
  <si>
    <t>The Paradox of Digital Finance: Financial Inclusion vs. Exclusion</t>
  </si>
  <si>
    <t>Aneta Korosteleva, Poland</t>
  </si>
  <si>
    <t>WK Härdle, Peter Schwendner, Jörg osterrieder</t>
  </si>
  <si>
    <t>CHANSE ERA-NET</t>
  </si>
  <si>
    <t>Controllable synthetic scenarios for explainable systematic strategies (SNF COST)</t>
  </si>
  <si>
    <t>Peter Schwendner, Switzerland</t>
  </si>
  <si>
    <t>Peter Schwendner, Marcus Wunsch</t>
  </si>
  <si>
    <t>SNF COST</t>
  </si>
  <si>
    <t xml:space="preserve">Netherlands  </t>
  </si>
  <si>
    <t>Digital Finance</t>
  </si>
  <si>
    <t>Joerg Osterrieder, Netherlands, Branka Hadji Misheva, Switzerland</t>
  </si>
  <si>
    <t>Sinem Bağçe &lt;sinem.bagce@khas.edu.tr&gt;; Barsotti, F. (Flavia &lt;Flavia.Barsotti@ing.com&gt;; Autar, A. (Anand &lt;Anand.Autar@ing.com&gt;; Akın Karcı &lt;akin.karci@khas.edu.tr&gt;; Andrew Farrugia &lt;andrew.farrugia@umnai.com&gt;; akanksha.jalan@rennes-sb.com; Hadji Misheva Branka &lt;branka.hadjimisheva@bfh.ch&gt;; luciana.dallavalle@plymouth.ac.uk; maria.iannario@unina.it; Machado, Marcos (UT-BMS) &lt;m.r.machado@utwente.nl&gt;; Svetlova, Ekaterina (UT-BMS) &lt;e.svetlova@utwente.nl&gt;; Abhishta, Abhishta (UT-BMS) &lt;s.abhishta@utwente.nl&gt;; Heeswijk, Wouter van (UT-BMS) &lt;w.j.a.vanheeswijk@utwente.nl&gt;; Vijaya Bhaskar, Vijay (UT-BMS) &lt;v.b.marisetty@utwente.nl&gt;; Ioana-Florina Coita &lt;coita.iflorina@gmail.com&gt;; 'Peter SCHWENDNER' &lt;scwp@zhaw.ch&gt;; Hopp Christian &lt;christian.hopp@bfh.ch&gt;; emiris@athenarc.gr; giann@athenarc.gr; dalamag@athenarc.gr; audrius.kabasinskas@ktu.lt; rgoleva@gmail.com; loizos@ouc.ac.cy; belma.ozturkkal@khas.edu.tr; antoni.jaume@uib.es; Ida Ivanová | OVaDŠ EU v Bratislave &lt;ida.ivanova@euba.sk&gt;; kwtrwn@gmail.com; roman.matkovskyy@rennes-sb.com; molnarba@inf.elte.hu; jana.peliova@euba.sk; allapetukhina@icloud.com; haerdle@hu-berlin.de; rui.ren.magic@gmail.com; Tuan Trinh &lt;tuan.trinh@eitdigital.eu&gt;; Codruta Mare &lt;codruta.mare@gmail.com&gt;; danpele@ase.ro; Angele GIULIANO - AcrossLimits &lt;angele@acrosslimits.com&gt;; senfer@acrosslimits.com; Stefan Lessmann &lt;stefan.lessmann@hu-berlin.de&gt;; Christina Erlwein-Sayer &lt;Christina.Erlwein-Sayer@HTW-Berlin.de&gt;; Kristina Sutiene &lt;kristina.sutiene@ktu.lt&gt;; Massimo Preziuso &lt;maxpreziuso@gmail.com&gt;; Mattia Bellotti &lt;mattia.bellotti@eitdigital.eu&gt;; Krisztián Gál &lt;krisztian.gal@eitdigital.eu&gt;; Hochreiter, Ronald &lt;Ronald.Hochreiter@wu.ac.at&gt;; Stefan Lessmann &lt;stefan.lessmann@outlook.de&gt;; barbara.bedowska-sojka@ue.poznan.pl; ronald@kleverlaan.com; Kurpisz Adam Andrzej &lt;adam.kurpisz@bfh.ch&gt;</t>
  </si>
  <si>
    <t>Netherlands, Switzerland, Germany, Romania, UK, Italy, Malta, France, Spain</t>
  </si>
  <si>
    <t>HORIZON-MSCA-2022-DN-01-01</t>
  </si>
  <si>
    <t>Sustainable Finance</t>
  </si>
  <si>
    <t>Joerg Osterrieder, Branka Hadji Misheva</t>
  </si>
  <si>
    <t>Innosuisse</t>
  </si>
  <si>
    <t>Digital Finance and Reinforcement Learning</t>
  </si>
  <si>
    <t>Currency Hedging</t>
  </si>
  <si>
    <t>Blockchain</t>
  </si>
  <si>
    <t>Human-machine centered collaboration to crowdsource insights</t>
  </si>
  <si>
    <t>Conference Series on AI in Finance</t>
  </si>
  <si>
    <t>Blockchain and Fraud Detection</t>
  </si>
  <si>
    <t xml:space="preserve">SNF </t>
  </si>
  <si>
    <t>AI in Finance</t>
  </si>
  <si>
    <t>Joerg Osterrieder</t>
  </si>
  <si>
    <t>Industry</t>
  </si>
  <si>
    <t xml:space="preserve">Network-based credit risk models on P2P lending markets </t>
  </si>
  <si>
    <t>Branka Hadji Misheva, Switzerland</t>
  </si>
  <si>
    <t>SNSF Lead Agency</t>
  </si>
  <si>
    <t>Digital Narratives</t>
  </si>
  <si>
    <t>XAI in credit risk management</t>
  </si>
  <si>
    <t>Branka Hadji Misheva, Joerg Osterrieder, Alex Posth, Marc Wildi</t>
  </si>
  <si>
    <t>Ai-based scoring model</t>
  </si>
  <si>
    <t>Branka Hadji Misheva, Joerg Osterrieder, Alex Posth</t>
  </si>
  <si>
    <t>DataInc - Intelligent Data Integration and Cleaning</t>
  </si>
  <si>
    <t>Branka Hadji Misheva, Joerg Osterrieder</t>
  </si>
  <si>
    <t>Narrative Digital Finance: a tale of structural breaks, bubbles &amp; market narratives</t>
  </si>
  <si>
    <t>Jörg Osterrieder, Branka Hadji Misheva, Ali Hirsa, Valerio Poti, Petter Kolm, Petre Lameski, Oleg Deyev, Kristina Sutiene, Alessia Paccagnini, Javier Gallardo</t>
  </si>
  <si>
    <t xml:space="preserve">Switzerland, US, Ireland, North Macedonia, Czech Republic, Estonia, Spain, </t>
  </si>
  <si>
    <t>SNF</t>
  </si>
  <si>
    <t>Editorial boards of finance journals: gender and social connectedness</t>
  </si>
  <si>
    <t>Barbara Będowska-Sójka, Poland</t>
  </si>
  <si>
    <t>Barbara Będowska-Sójka, Esra Kabaklarli, Codruta Mare, Belma Ozturkkal,Alessia Paccagnini, Rezarta Perri, Albulena Shala, Hanna Kristín Skaftadóttir,Claudia Tarantola</t>
  </si>
  <si>
    <t>Poland, Italy, Turkey, Romania, Ireland, Iceland, Albania, Kosovo</t>
  </si>
  <si>
    <t>Women and Science Chair at Université Paris Dauphine - PSL</t>
  </si>
  <si>
    <t>Assessing Blockchain-based Decentralized Autonomous Organizations for managing DeFi, NFTs and Metaverse projects (DAOapplications)</t>
  </si>
  <si>
    <t>Javier Arroyo, Spain</t>
  </si>
  <si>
    <t>Javier Arroyo</t>
  </si>
  <si>
    <t>131000/93000</t>
  </si>
  <si>
    <t>Generación de Conocimiento 2021</t>
  </si>
  <si>
    <t>Financial literacy as an antidote to vulnerability: new measures and methods</t>
  </si>
  <si>
    <t>Sabrina Giordano, Italy</t>
  </si>
  <si>
    <t>Sabrina Giordano</t>
  </si>
  <si>
    <t>Fund to Support Research at University of Calabria</t>
  </si>
  <si>
    <t>Volatility Trading and Information Environment in Financial Markets (VTIEFM). Collaborative and knowledge building project.</t>
  </si>
  <si>
    <t>Per B Solibakke, Norway</t>
  </si>
  <si>
    <t>Akarsh Kainth and Per B Solibakke</t>
  </si>
  <si>
    <t>NO</t>
  </si>
  <si>
    <t>NFR</t>
  </si>
  <si>
    <t>Sustainable Investments and Risk Management (SIRM)</t>
  </si>
  <si>
    <t>NOT Fundex, new application 2023</t>
  </si>
  <si>
    <t>Women in Fintech European Datathon</t>
  </si>
  <si>
    <t>Albulena Shala, Kosovo</t>
  </si>
  <si>
    <t>Albulena Shala, Maria Iannario, Rrezerta Perri</t>
  </si>
  <si>
    <t>Kosovo, Italy, Albania</t>
  </si>
  <si>
    <t>Cost Action 13190</t>
  </si>
  <si>
    <t>Not Funded Yet</t>
  </si>
  <si>
    <t>Netherland</t>
  </si>
  <si>
    <t>Digital Finance - Reaching New Frontiers</t>
  </si>
  <si>
    <t xml:space="preserve">Joerg Osterrieder, Netherlands  </t>
  </si>
  <si>
    <t>Jörg Osterrieder, Jos van Hillegersberg, Laura Spierdijk, Martijn Mes,Marcos Machado, Vijay Marisetty, Ekaterina Svetlova, Wouter van Heswijk, Abhistha Abhistha, Bettina Grün, Kurt Hornik, Ronald Hochreiter, Wolfgang Härdle, Stefan Lessmann, Rui Ren, Maria Iannario, Francesco Palumbo, Antonio Pescapè, Alfonso Iodice D'Enza, Kristina Šutienė, Eimutis Valakevičius, Audrius Kabašinskas, Daniel Traian Pele, Adrian Costea, Vasile Strat, Codruța Mare, Monica Violeta Achim, Cristian Mihai Dragos, Gennaro Di Brino, Federico Giudici, Stefano Penazzi, Stefan Theußl, Simon Haller, Franz Xaver Zobl, Aidas Malakauskas, Tadas Gudaitis, Nerijus Mačiulis, Saulius Šimkonis, Marco Bianchetti, Demetrio Maffei, Pietro Nazario Virgili, Alberto Ferrario, Matteo Macera Zappavigna, Maurizio Di Noia, Michael Althof, Julian Winkel, Bruno Spilak, Branka Hadji Misheva, Christian Hopp, Adam Kurpisz, Ioannis Emiris, Theodore Dalamagas, Giorgos Giannopoulos, Mattia Bellotti, Tuan Trinh, Salvatore Moccia, Ralf Korn, Robert Buch, Stefanie Schwaar, Daniela Schackis, Lukasz Kubicki, Theodoros Mastrokostopoulos, Benjamin Sahel, Maia Köhler, Filippo Bartoli</t>
  </si>
  <si>
    <t>Netherlands, Switzerland, Germany, Italy, Lithuania, Romania</t>
  </si>
  <si>
    <t>other EU</t>
  </si>
  <si>
    <t>4000 000</t>
  </si>
  <si>
    <t>MSCA DN PLEASE ADD</t>
  </si>
  <si>
    <t>Under Evaluation</t>
  </si>
  <si>
    <t>Needed?(Y/N)</t>
  </si>
  <si>
    <t>Report</t>
  </si>
  <si>
    <t>Completed sections</t>
  </si>
  <si>
    <t>Missing sections</t>
  </si>
  <si>
    <t>Responsible</t>
  </si>
  <si>
    <t>Contact email</t>
  </si>
  <si>
    <t>Observations</t>
  </si>
  <si>
    <t>Reminder sent</t>
  </si>
  <si>
    <t>E-mail info updated until</t>
  </si>
  <si>
    <t>yes^</t>
  </si>
  <si>
    <t>5.1 Action Publications</t>
  </si>
  <si>
    <t>all others</t>
  </si>
  <si>
    <t>Joerg</t>
  </si>
  <si>
    <t>^country coordinator: Daniel Traian Pele (part of RO team)</t>
  </si>
  <si>
    <t>?</t>
  </si>
  <si>
    <t>3. Progress on MoU</t>
  </si>
  <si>
    <t>3; partly 4; 5.1</t>
  </si>
  <si>
    <t>1; 2; 5.3; 6; 7; 8; 9</t>
  </si>
  <si>
    <t>Bosnia-Hertegovina</t>
  </si>
  <si>
    <t>jelena.poljasevic@ef.unibl.org; igor.todorovic@ef.unibl.org</t>
  </si>
  <si>
    <t>2; 7</t>
  </si>
  <si>
    <t>1; 3; 4; 5; 6</t>
  </si>
  <si>
    <t>2; 7; 8; 9</t>
  </si>
  <si>
    <t>yes*</t>
  </si>
  <si>
    <t>*permission needed to open report</t>
  </si>
  <si>
    <t>3; 7</t>
  </si>
  <si>
    <t>others</t>
  </si>
  <si>
    <t>3; 5.1</t>
  </si>
  <si>
    <t>1; 2; 4; 5.3; 6; 7; 8; 9</t>
  </si>
  <si>
    <t>3; 4; 5; 6; 7; 8; 9</t>
  </si>
  <si>
    <t>1; 2</t>
  </si>
  <si>
    <t>2; 5</t>
  </si>
  <si>
    <t>1; 3; 4; 6; 7; 8; 9</t>
  </si>
  <si>
    <t>alla.petukhina@htw-berlin.de; haerdle@hu-berlin.de;</t>
  </si>
  <si>
    <t>veniarakelian@yahoo.com; giann@athenarc.gr; emiris@athenarc.gr</t>
  </si>
  <si>
    <t>tuan.trinh@eitdigital.eu; pelle@eco.u-szeged.hu</t>
  </si>
  <si>
    <t>hks7@hs.is</t>
  </si>
  <si>
    <t>3; 5</t>
  </si>
  <si>
    <t>rupelnargunam25@gmail.com;</t>
  </si>
  <si>
    <t>3; 4; 5</t>
  </si>
  <si>
    <t>1; 2; 6; 7; 8; 9</t>
  </si>
  <si>
    <t>alessia.paccagnini@ucd.ie;</t>
  </si>
  <si>
    <t>Israel</t>
  </si>
  <si>
    <t>3; 4; 7.1; 9</t>
  </si>
  <si>
    <t>1; 2;  5; 6; 7(other sections)</t>
  </si>
  <si>
    <t>daniele.marazzina@polimi.it;</t>
  </si>
  <si>
    <t>Kosovo*</t>
  </si>
  <si>
    <t>kristina.sutiene@ktu.lt; audrius.kabasinkas@ktu.lt</t>
  </si>
  <si>
    <t>dbevan@stmartins.edu;</t>
  </si>
  <si>
    <t>ronald@kleverlaan.com; t.walther@uu.nl</t>
  </si>
  <si>
    <t>New Zeeland</t>
  </si>
  <si>
    <t>lameski@finki.ukim.mk;</t>
  </si>
  <si>
    <t>Palestine*</t>
  </si>
  <si>
    <t>pwojcik@wne.uw.edu.pl;</t>
  </si>
  <si>
    <t>1; 3; 5; 7</t>
  </si>
  <si>
    <t>2; 4; 6; 8; 9</t>
  </si>
  <si>
    <t>joana@fe.uc.pt; bribeiro@dei.uc.pt; catarina@dei.uc.pt;</t>
  </si>
  <si>
    <t xml:space="preserve">3; 4; </t>
  </si>
  <si>
    <t>1; 2; 5; 6; 7; 8; 9</t>
  </si>
  <si>
    <t>danpele@ase.ro;</t>
  </si>
  <si>
    <t>1; 2; 4; 6; 7; 8; 9</t>
  </si>
  <si>
    <t>vladimir.simovic@ien.bg.ac.rs;</t>
  </si>
  <si>
    <t>Singapore</t>
  </si>
  <si>
    <t>jana.peliova@euba.sk;</t>
  </si>
  <si>
    <t>3; 4</t>
  </si>
  <si>
    <t>denis.trcek@fri.uni-lj.si;</t>
  </si>
  <si>
    <t>3; 5; 7</t>
  </si>
  <si>
    <t>1; 2; 4; 6; 8; 9</t>
  </si>
  <si>
    <t>javier.arroyo@fdi.ucm.es;</t>
  </si>
  <si>
    <t>yes**</t>
  </si>
  <si>
    <t>scwp@zhaw.ch; wuns@zhaw.ch</t>
  </si>
  <si>
    <t>**not a report but a google survey page</t>
  </si>
  <si>
    <t>Taiwan</t>
  </si>
  <si>
    <t>belma.ozturkal@khas.edu.tr</t>
  </si>
  <si>
    <t>United Arab Emirates</t>
  </si>
  <si>
    <t>Diversity</t>
  </si>
  <si>
    <t>Unknown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</si>
</sst>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dd/mm/yyyy hh:mm:ss"/>
    <numFmt numFmtId="166" formatCode="[$£-809]#,##0.00"/>
    <numFmt numFmtId="167" formatCode="#,##0&quot;€&quot;"/>
    <numFmt numFmtId="168" formatCode="d-mmm"/>
  </numFmts>
  <fonts count="88">
    <font>
      <sz val="10.0"/>
      <color rgb="FF000000"/>
      <name val="Arial"/>
      <scheme val="minor"/>
    </font>
    <font>
      <color theme="1"/>
      <name val="Arial"/>
      <scheme val="minor"/>
    </font>
    <font>
      <sz val="11.0"/>
      <color rgb="FF000000"/>
      <name val="Inconsolata"/>
    </font>
    <font>
      <sz val="11.0"/>
      <color rgb="FF000000"/>
      <name val="Calibri"/>
    </font>
    <font>
      <b/>
      <sz val="11.0"/>
      <color theme="1"/>
      <name val="Calibri"/>
    </font>
    <font>
      <color theme="1"/>
      <name val="Arial"/>
    </font>
    <font>
      <sz val="11.0"/>
      <color theme="1"/>
      <name val="Calibri"/>
    </font>
    <font>
      <sz val="11.0"/>
      <color theme="1"/>
      <name val="Arial"/>
    </font>
    <font>
      <b/>
      <color theme="1"/>
      <name val="Arial"/>
      <scheme val="minor"/>
    </font>
    <font>
      <u/>
      <color rgb="FF0000FF"/>
    </font>
    <font>
      <u/>
      <color rgb="FF0000FF"/>
    </font>
    <font>
      <u/>
      <sz val="11.0"/>
      <color rgb="FF0000FF"/>
      <name val="Calibri"/>
    </font>
    <font>
      <u/>
      <sz val="11.0"/>
      <color rgb="FF0563C1"/>
      <name val="Calibri"/>
    </font>
    <font>
      <u/>
      <color rgb="FF0000FF"/>
    </font>
    <font>
      <sz val="10.0"/>
      <color theme="1"/>
      <name val="Arial"/>
    </font>
    <font>
      <u/>
      <sz val="12.0"/>
      <color rgb="FF0563C1"/>
      <name val="&quot;Times New Roman&quot;"/>
    </font>
    <font>
      <i/>
      <color theme="1"/>
      <name val="Arial"/>
      <scheme val="minor"/>
    </font>
    <font>
      <sz val="10.0"/>
      <color theme="1"/>
      <name val="Arial"/>
      <scheme val="minor"/>
    </font>
    <font>
      <u/>
      <sz val="10.0"/>
      <color rgb="FF0000FF"/>
    </font>
    <font>
      <u/>
      <sz val="10.0"/>
      <color rgb="FF0000FF"/>
    </font>
    <font>
      <i/>
      <sz val="10.0"/>
      <color theme="1"/>
      <name val="Arial"/>
      <scheme val="minor"/>
    </font>
    <font>
      <u/>
      <sz val="10.0"/>
      <color rgb="FF0000FF"/>
    </font>
    <font>
      <sz val="10.0"/>
      <color rgb="FF333333"/>
      <name val="Arial"/>
      <scheme val="minor"/>
    </font>
    <font>
      <u/>
      <sz val="10.0"/>
      <color rgb="FF006FB7"/>
    </font>
    <font>
      <sz val="10.0"/>
      <color rgb="FF222222"/>
      <name val="Arial"/>
      <scheme val="minor"/>
    </font>
    <font>
      <u/>
      <sz val="10.0"/>
      <color rgb="FF000000"/>
    </font>
    <font>
      <u/>
      <sz val="10.0"/>
      <color rgb="FF000000"/>
    </font>
    <font>
      <sz val="10.0"/>
      <color rgb="FF212121"/>
      <name val="Arial"/>
      <scheme val="minor"/>
    </font>
    <font>
      <u/>
      <sz val="10.0"/>
      <color rgb="FF0000FF"/>
    </font>
    <font>
      <u/>
      <sz val="10.0"/>
      <color rgb="FF333333"/>
    </font>
    <font>
      <u/>
      <sz val="10.0"/>
      <color rgb="FF000000"/>
      <name val="Arial"/>
      <scheme val="minor"/>
    </font>
    <font>
      <u/>
      <sz val="10.0"/>
      <color rgb="FFFF0000"/>
    </font>
    <font>
      <u/>
      <sz val="10.0"/>
      <color rgb="FFFF6C00"/>
    </font>
    <font>
      <u/>
      <sz val="11.0"/>
      <color rgb="FF0000FF"/>
      <name val="Calibri"/>
    </font>
    <font>
      <u/>
      <sz val="10.0"/>
      <color rgb="FF000000"/>
    </font>
    <font>
      <u/>
      <sz val="10.0"/>
      <color rgb="FF000000"/>
    </font>
    <font>
      <u/>
      <sz val="10.0"/>
      <color rgb="FF000069"/>
    </font>
    <font>
      <u/>
      <sz val="10.0"/>
      <color rgb="FF000087"/>
    </font>
    <font>
      <u/>
      <sz val="10.0"/>
      <color rgb="FF000087"/>
    </font>
    <font>
      <u/>
      <sz val="10.0"/>
      <color rgb="FF000000"/>
    </font>
    <font>
      <u/>
      <sz val="10.0"/>
      <color rgb="FF000000"/>
      <name val="Arial"/>
      <scheme val="minor"/>
    </font>
    <font>
      <u/>
      <sz val="10.0"/>
      <color rgb="FF333333"/>
    </font>
    <font>
      <u/>
      <sz val="10.0"/>
      <color rgb="FF0C7DBB"/>
    </font>
    <font>
      <u/>
      <sz val="10.0"/>
      <color rgb="FF0C7DBB"/>
    </font>
    <font>
      <u/>
      <color rgb="FF000000"/>
      <name val="Roboto"/>
    </font>
    <font>
      <sz val="10.0"/>
      <color rgb="FF404040"/>
      <name val="Arial"/>
      <scheme val="minor"/>
    </font>
    <font>
      <u/>
      <sz val="10.0"/>
      <color rgb="FF022B42"/>
    </font>
    <font>
      <u/>
      <sz val="10.0"/>
      <color rgb="FF006DB4"/>
    </font>
    <font>
      <sz val="9.0"/>
      <color rgb="FF222222"/>
      <name val="Arial"/>
    </font>
    <font>
      <u/>
      <sz val="12.0"/>
      <color rgb="FF333333"/>
      <name val="-apple-system"/>
    </font>
    <font>
      <u/>
      <sz val="12.0"/>
      <color rgb="FF333333"/>
      <name val="-apple-system"/>
    </font>
    <font>
      <u/>
      <sz val="10.0"/>
      <color rgb="FF333333"/>
    </font>
    <font>
      <u/>
      <sz val="10.0"/>
      <color rgb="FF0000FF"/>
      <name val="Arial"/>
      <scheme val="minor"/>
    </font>
    <font>
      <u/>
      <sz val="9.0"/>
      <color rgb="FF000000"/>
      <name val="&quot;Helvetica Neue&quot;"/>
    </font>
    <font>
      <u/>
      <sz val="9.0"/>
      <color rgb="FF000000"/>
      <name val="&quot;Helvetica Neue&quot;"/>
    </font>
    <font>
      <u/>
      <sz val="11.0"/>
      <color rgb="FF0563C1"/>
      <name val="Calibri"/>
    </font>
    <font>
      <b/>
      <color rgb="FF000000"/>
      <name val="Arial"/>
    </font>
    <font>
      <color rgb="FF000000"/>
      <name val="Arial"/>
    </font>
    <font>
      <u/>
      <sz val="11.0"/>
      <color rgb="FF0563C1"/>
      <name val="Calibri"/>
    </font>
    <font>
      <color rgb="FF222222"/>
      <name val="Arial"/>
    </font>
    <font>
      <u/>
      <sz val="11.0"/>
      <color rgb="FF0563C1"/>
      <name val="Calibri"/>
    </font>
    <font>
      <u/>
      <color rgb="FF1155CC"/>
      <name val="Arial"/>
    </font>
    <font>
      <u/>
      <color rgb="FF000000"/>
      <name val="Arial"/>
    </font>
    <font>
      <u/>
      <sz val="11.0"/>
      <color rgb="FF0563C1"/>
      <name val="Calibri"/>
    </font>
    <font>
      <u/>
      <color rgb="FF000000"/>
      <name val="Arial"/>
    </font>
    <font>
      <u/>
      <sz val="11.0"/>
      <color rgb="FF0563C1"/>
      <name val="Calibri"/>
    </font>
    <font>
      <u/>
      <sz val="11.0"/>
      <color rgb="FF0563C1"/>
      <name val="Calibri"/>
    </font>
    <font>
      <color rgb="FF212121"/>
      <name val="Arial"/>
    </font>
    <font>
      <color rgb="FF404040"/>
      <name val="Arial"/>
    </font>
    <font>
      <u/>
      <color rgb="FF000000"/>
      <name val="Arial"/>
    </font>
    <font>
      <u/>
      <sz val="11.0"/>
      <color rgb="FF0563C1"/>
      <name val="Calibri"/>
    </font>
    <font>
      <u/>
      <sz val="11.0"/>
      <color rgb="FF0563C1"/>
      <name val="Calibri"/>
    </font>
    <font>
      <u/>
      <sz val="11.0"/>
      <color rgb="FF085C77"/>
      <name val="&quot;Noto Sans&quot;"/>
    </font>
    <font>
      <color theme="1"/>
      <name val="Roboto"/>
    </font>
    <font>
      <sz val="11.0"/>
      <color rgb="FF000000"/>
      <name val="Roboto"/>
    </font>
    <font>
      <b/>
      <u/>
      <sz val="10.0"/>
      <color theme="1"/>
      <name val="Arial"/>
      <scheme val="minor"/>
    </font>
    <font>
      <b/>
      <sz val="10.0"/>
      <color rgb="FF000000"/>
      <name val="Arial"/>
      <scheme val="minor"/>
    </font>
    <font>
      <b/>
      <sz val="10.0"/>
      <color theme="1"/>
      <name val="Arial"/>
      <scheme val="minor"/>
    </font>
    <font>
      <color rgb="FF000000"/>
      <name val="Roboto"/>
    </font>
    <font>
      <color rgb="FF242424"/>
      <name val="Arial"/>
    </font>
    <font>
      <sz val="11.0"/>
      <color theme="1"/>
      <name val="&quot;Times New Roman&quot;"/>
    </font>
    <font>
      <b/>
      <sz val="11.0"/>
      <color rgb="FF000000"/>
      <name val="Calibri"/>
    </font>
    <font>
      <b/>
      <sz val="11.0"/>
      <color rgb="FF70AD47"/>
      <name val="Calibri"/>
    </font>
    <font>
      <b/>
      <sz val="11.0"/>
      <color rgb="FFED7D31"/>
      <name val="Calibri"/>
    </font>
    <font>
      <u/>
      <sz val="11.0"/>
      <color rgb="FF0563C1"/>
      <name val="Calibri"/>
    </font>
    <font>
      <u/>
      <sz val="11.0"/>
      <color rgb="FF0563C1"/>
      <name val="Calibri"/>
    </font>
    <font>
      <u/>
      <sz val="11.0"/>
      <color rgb="FF0563C1"/>
      <name val="Calibri"/>
    </font>
    <font>
      <i/>
      <sz val="11.0"/>
      <color rgb="FF000000"/>
      <name val="Calibri"/>
    </font>
  </fonts>
  <fills count="11">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FCFCFC"/>
        <bgColor rgb="FFFCFCFC"/>
      </patternFill>
    </fill>
    <fill>
      <patternFill patternType="solid">
        <fgColor theme="0"/>
        <bgColor theme="0"/>
      </patternFill>
    </fill>
    <fill>
      <patternFill patternType="solid">
        <fgColor rgb="FFFAFAFA"/>
        <bgColor rgb="FFFAFAFA"/>
      </patternFill>
    </fill>
    <fill>
      <patternFill patternType="solid">
        <fgColor rgb="FFA5A5A5"/>
        <bgColor rgb="FFA5A5A5"/>
      </patternFill>
    </fill>
    <fill>
      <patternFill patternType="solid">
        <fgColor rgb="FF00FFFF"/>
        <bgColor rgb="FF00FFFF"/>
      </patternFill>
    </fill>
    <fill>
      <patternFill patternType="solid">
        <fgColor rgb="FFFF6C00"/>
        <bgColor rgb="FFFF6C00"/>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readingOrder="0"/>
    </xf>
    <xf borderId="0" fillId="2" fontId="2" numFmtId="0" xfId="0" applyAlignment="1" applyFill="1" applyFont="1">
      <alignment readingOrder="0"/>
    </xf>
    <xf borderId="0" fillId="0" fontId="1" numFmtId="165" xfId="0" applyAlignment="1" applyFont="1" applyNumberFormat="1">
      <alignment readingOrder="0"/>
    </xf>
    <xf borderId="0" fillId="0" fontId="3" numFmtId="0" xfId="0" applyAlignment="1" applyFont="1">
      <alignment readingOrder="0" shrinkToFit="0" vertical="bottom" wrapText="0"/>
    </xf>
    <xf borderId="0" fillId="0" fontId="4" numFmtId="0" xfId="0" applyAlignment="1" applyFont="1">
      <alignment readingOrder="0" vertical="bottom"/>
    </xf>
    <xf borderId="0" fillId="0" fontId="4" numFmtId="0" xfId="0" applyAlignment="1" applyFont="1">
      <alignment vertical="bottom"/>
    </xf>
    <xf borderId="0" fillId="0" fontId="5" numFmtId="0" xfId="0" applyAlignment="1" applyFont="1">
      <alignment vertical="bottom"/>
    </xf>
    <xf borderId="1" fillId="0" fontId="4" numFmtId="0" xfId="0" applyAlignment="1" applyBorder="1" applyFont="1">
      <alignment vertical="bottom"/>
    </xf>
    <xf borderId="0" fillId="0" fontId="6" numFmtId="0" xfId="0" applyAlignment="1" applyFont="1">
      <alignment vertical="bottom"/>
    </xf>
    <xf borderId="1" fillId="0" fontId="6" numFmtId="0" xfId="0" applyAlignment="1" applyBorder="1" applyFont="1">
      <alignment vertical="bottom"/>
    </xf>
    <xf borderId="0" fillId="0" fontId="6" numFmtId="0" xfId="0" applyAlignment="1" applyFont="1">
      <alignment shrinkToFit="0" vertical="bottom" wrapText="0"/>
    </xf>
    <xf borderId="0" fillId="0" fontId="6" numFmtId="0" xfId="0" applyAlignment="1" applyFont="1">
      <alignment readingOrder="0" vertical="bottom"/>
    </xf>
    <xf borderId="0" fillId="0" fontId="7" numFmtId="0" xfId="0" applyAlignment="1" applyFont="1">
      <alignment readingOrder="0" vertical="bottom"/>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vertical="bottom"/>
    </xf>
    <xf borderId="0" fillId="0" fontId="12" numFmtId="0" xfId="0" applyAlignment="1" applyFont="1">
      <alignment readingOrder="0"/>
    </xf>
    <xf borderId="0" fillId="3" fontId="13" numFmtId="0" xfId="0" applyAlignment="1" applyFill="1" applyFont="1">
      <alignment readingOrder="0"/>
    </xf>
    <xf borderId="0" fillId="2" fontId="14" numFmtId="0" xfId="0" applyAlignment="1" applyFont="1">
      <alignment readingOrder="0"/>
    </xf>
    <xf borderId="0" fillId="3" fontId="15" numFmtId="0" xfId="0" applyAlignment="1" applyFont="1">
      <alignment readingOrder="0"/>
    </xf>
    <xf borderId="0" fillId="0" fontId="16" numFmtId="0" xfId="0" applyAlignment="1" applyFont="1">
      <alignment readingOrder="0"/>
    </xf>
    <xf borderId="0" fillId="0" fontId="17" numFmtId="0" xfId="0" applyAlignment="1" applyFont="1">
      <alignment readingOrder="0"/>
    </xf>
    <xf borderId="0" fillId="0" fontId="17" numFmtId="0" xfId="0" applyFont="1"/>
    <xf borderId="0" fillId="0" fontId="18" numFmtId="0" xfId="0" applyAlignment="1" applyFont="1">
      <alignment horizontal="left" readingOrder="0"/>
    </xf>
    <xf borderId="0" fillId="0" fontId="19" numFmtId="0" xfId="0" applyAlignment="1" applyFont="1">
      <alignment readingOrder="0"/>
    </xf>
    <xf borderId="0" fillId="0" fontId="20" numFmtId="0" xfId="0" applyAlignment="1" applyFont="1">
      <alignment readingOrder="0"/>
    </xf>
    <xf borderId="0" fillId="0" fontId="21" numFmtId="0" xfId="0" applyAlignment="1" applyFont="1">
      <alignment readingOrder="0"/>
    </xf>
    <xf borderId="0" fillId="4" fontId="22" numFmtId="0" xfId="0" applyAlignment="1" applyFill="1" applyFont="1">
      <alignment readingOrder="0"/>
    </xf>
    <xf borderId="0" fillId="2" fontId="23" numFmtId="0" xfId="0" applyAlignment="1" applyFont="1">
      <alignment readingOrder="0"/>
    </xf>
    <xf borderId="0" fillId="2" fontId="24" numFmtId="0" xfId="0" applyAlignment="1" applyFont="1">
      <alignment readingOrder="0"/>
    </xf>
    <xf borderId="0" fillId="2" fontId="24" numFmtId="0" xfId="0" applyAlignment="1" applyFont="1">
      <alignment horizontal="left" readingOrder="0"/>
    </xf>
    <xf borderId="0" fillId="2" fontId="17" numFmtId="0" xfId="0" applyAlignment="1" applyFont="1">
      <alignment readingOrder="0"/>
    </xf>
    <xf borderId="0" fillId="0" fontId="25" numFmtId="0" xfId="0" applyAlignment="1" applyFont="1">
      <alignment readingOrder="0"/>
    </xf>
    <xf borderId="0" fillId="2" fontId="26" numFmtId="0" xfId="0" applyAlignment="1" applyFont="1">
      <alignment readingOrder="0"/>
    </xf>
    <xf borderId="0" fillId="2" fontId="27" numFmtId="0" xfId="0" applyFont="1"/>
    <xf borderId="0" fillId="5" fontId="17" numFmtId="0" xfId="0" applyAlignment="1" applyFill="1" applyFont="1">
      <alignment readingOrder="0"/>
    </xf>
    <xf borderId="0" fillId="5" fontId="28" numFmtId="0" xfId="0" applyAlignment="1" applyFont="1">
      <alignment readingOrder="0"/>
    </xf>
    <xf borderId="0" fillId="5" fontId="17" numFmtId="0" xfId="0" applyFont="1"/>
    <xf borderId="0" fillId="2" fontId="29" numFmtId="0" xfId="0" applyAlignment="1" applyFont="1">
      <alignment horizontal="left" readingOrder="0"/>
    </xf>
    <xf borderId="0" fillId="0" fontId="30" numFmtId="0" xfId="0" applyFont="1"/>
    <xf borderId="0" fillId="0" fontId="31" numFmtId="0" xfId="0" applyAlignment="1" applyFont="1">
      <alignment readingOrder="0"/>
    </xf>
    <xf borderId="0" fillId="0" fontId="32" numFmtId="0" xfId="0" applyAlignment="1" applyFont="1">
      <alignment readingOrder="0"/>
    </xf>
    <xf borderId="0" fillId="0" fontId="17" numFmtId="0" xfId="0" applyAlignment="1" applyFont="1">
      <alignment readingOrder="0"/>
    </xf>
    <xf borderId="0" fillId="0" fontId="33" numFmtId="0" xfId="0" applyAlignment="1" applyFont="1">
      <alignment readingOrder="0"/>
    </xf>
    <xf borderId="0" fillId="2" fontId="34" numFmtId="0" xfId="0" applyAlignment="1" applyFont="1">
      <alignment readingOrder="0"/>
    </xf>
    <xf borderId="0" fillId="0" fontId="35" numFmtId="0" xfId="0" applyAlignment="1" applyFont="1">
      <alignment readingOrder="0"/>
    </xf>
    <xf borderId="0" fillId="0" fontId="36" numFmtId="0" xfId="0" applyAlignment="1" applyFont="1">
      <alignment readingOrder="0"/>
    </xf>
    <xf borderId="0" fillId="0" fontId="37" numFmtId="0" xfId="0" applyAlignment="1" applyFont="1">
      <alignment readingOrder="0"/>
    </xf>
    <xf borderId="0" fillId="5" fontId="1" numFmtId="0" xfId="0" applyFont="1"/>
    <xf borderId="0" fillId="0" fontId="38" numFmtId="0" xfId="0" applyAlignment="1" applyFont="1">
      <alignment readingOrder="0"/>
    </xf>
    <xf borderId="0" fillId="0" fontId="39" numFmtId="0" xfId="0" applyAlignment="1" applyFont="1">
      <alignment readingOrder="0" vertical="top"/>
    </xf>
    <xf borderId="0" fillId="0" fontId="0" numFmtId="0" xfId="0" applyAlignment="1" applyFont="1">
      <alignment readingOrder="0"/>
    </xf>
    <xf borderId="0" fillId="0" fontId="40" numFmtId="0" xfId="0" applyAlignment="1" applyFont="1">
      <alignment readingOrder="0"/>
    </xf>
    <xf borderId="0" fillId="4" fontId="41" numFmtId="0" xfId="0" applyAlignment="1" applyFont="1">
      <alignment horizontal="left" readingOrder="0"/>
    </xf>
    <xf borderId="0" fillId="2" fontId="0" numFmtId="0" xfId="0" applyAlignment="1" applyFont="1">
      <alignment horizontal="left" readingOrder="0"/>
    </xf>
    <xf borderId="0" fillId="0" fontId="42" numFmtId="0" xfId="0" applyAlignment="1" applyFont="1">
      <alignment readingOrder="0"/>
    </xf>
    <xf borderId="0" fillId="2" fontId="27" numFmtId="0" xfId="0" applyAlignment="1" applyFont="1">
      <alignment readingOrder="0"/>
    </xf>
    <xf borderId="0" fillId="0" fontId="43" numFmtId="0" xfId="0" applyAlignment="1" applyFont="1">
      <alignment readingOrder="0"/>
    </xf>
    <xf borderId="0" fillId="0" fontId="17" numFmtId="0" xfId="0" applyAlignment="1" applyFont="1">
      <alignment readingOrder="0"/>
    </xf>
    <xf borderId="0" fillId="2" fontId="44" numFmtId="0" xfId="0" applyAlignment="1" applyFont="1">
      <alignment readingOrder="0"/>
    </xf>
    <xf borderId="0" fillId="2" fontId="45" numFmtId="0" xfId="0" applyAlignment="1" applyFont="1">
      <alignment horizontal="left" readingOrder="0"/>
    </xf>
    <xf borderId="0" fillId="0" fontId="17" numFmtId="0" xfId="0" applyAlignment="1" applyFont="1">
      <alignment vertical="bottom"/>
    </xf>
    <xf borderId="0" fillId="6" fontId="46" numFmtId="0" xfId="0" applyAlignment="1" applyFill="1" applyFont="1">
      <alignment horizontal="left" readingOrder="0"/>
    </xf>
    <xf borderId="0" fillId="0" fontId="47" numFmtId="0" xfId="0" applyAlignment="1" applyFont="1">
      <alignment horizontal="left" readingOrder="0"/>
    </xf>
    <xf borderId="0" fillId="2" fontId="48" numFmtId="0" xfId="0" applyAlignment="1" applyFont="1">
      <alignment readingOrder="0"/>
    </xf>
    <xf borderId="0" fillId="4" fontId="49" numFmtId="0" xfId="0" applyAlignment="1" applyFont="1">
      <alignment readingOrder="0"/>
    </xf>
    <xf borderId="0" fillId="4" fontId="50" numFmtId="0" xfId="0" applyAlignment="1" applyFont="1">
      <alignment readingOrder="0"/>
    </xf>
    <xf borderId="0" fillId="0" fontId="17" numFmtId="0" xfId="0" applyAlignment="1" applyFont="1">
      <alignment horizontal="left" readingOrder="0" shrinkToFit="0" wrapText="1"/>
    </xf>
    <xf borderId="0" fillId="4" fontId="51" numFmtId="0" xfId="0" applyAlignment="1" applyFont="1">
      <alignment horizontal="left" readingOrder="0"/>
    </xf>
    <xf borderId="0" fillId="0" fontId="0" numFmtId="0" xfId="0" applyFont="1"/>
    <xf borderId="0" fillId="0" fontId="52" numFmtId="0" xfId="0" applyFont="1"/>
    <xf borderId="0" fillId="2" fontId="53" numFmtId="0" xfId="0" applyAlignment="1" applyFont="1">
      <alignment horizontal="left" readingOrder="0"/>
    </xf>
    <xf borderId="0" fillId="2" fontId="54" numFmtId="0" xfId="0" applyAlignment="1" applyFont="1">
      <alignment readingOrder="0"/>
    </xf>
    <xf borderId="0" fillId="0" fontId="55" numFmtId="0" xfId="0" applyAlignment="1" applyFont="1">
      <alignment readingOrder="0"/>
    </xf>
    <xf borderId="0" fillId="7" fontId="56" numFmtId="0" xfId="0" applyAlignment="1" applyFill="1" applyFont="1">
      <alignment readingOrder="0" vertical="bottom"/>
    </xf>
    <xf borderId="0" fillId="0" fontId="57" numFmtId="0" xfId="0" applyAlignment="1" applyFont="1">
      <alignment readingOrder="0" vertical="bottom"/>
    </xf>
    <xf borderId="0" fillId="0" fontId="58" numFmtId="0" xfId="0" applyAlignment="1" applyFont="1">
      <alignment readingOrder="0" vertical="bottom"/>
    </xf>
    <xf borderId="0" fillId="0" fontId="57" numFmtId="0" xfId="0" applyAlignment="1" applyFont="1">
      <alignment readingOrder="0" shrinkToFit="0" wrapText="0"/>
    </xf>
    <xf borderId="0" fillId="2" fontId="57" numFmtId="0" xfId="0" applyAlignment="1" applyFont="1">
      <alignment readingOrder="0" shrinkToFit="0" wrapText="0"/>
    </xf>
    <xf borderId="0" fillId="2" fontId="57" numFmtId="0" xfId="0" applyAlignment="1" applyFont="1">
      <alignment readingOrder="0" vertical="bottom"/>
    </xf>
    <xf borderId="0" fillId="2" fontId="59" numFmtId="0" xfId="0" applyAlignment="1" applyFont="1">
      <alignment readingOrder="0" vertical="bottom"/>
    </xf>
    <xf borderId="0" fillId="0" fontId="57" numFmtId="0" xfId="0" applyAlignment="1" applyFont="1">
      <alignment vertical="bottom"/>
    </xf>
    <xf borderId="0" fillId="2" fontId="60" numFmtId="0" xfId="0" applyAlignment="1" applyFont="1">
      <alignment readingOrder="0" vertical="bottom"/>
    </xf>
    <xf borderId="0" fillId="2" fontId="57" numFmtId="0" xfId="0" applyAlignment="1" applyFont="1">
      <alignment vertical="bottom"/>
    </xf>
    <xf borderId="0" fillId="0" fontId="61" numFmtId="0" xfId="0" applyAlignment="1" applyFont="1">
      <alignment readingOrder="0" vertical="bottom"/>
    </xf>
    <xf borderId="0" fillId="0" fontId="62" numFmtId="0" xfId="0" applyAlignment="1" applyFont="1">
      <alignment readingOrder="0" vertical="top"/>
    </xf>
    <xf borderId="0" fillId="0" fontId="63" numFmtId="0" xfId="0" applyAlignment="1" applyFont="1">
      <alignment readingOrder="0" vertical="top"/>
    </xf>
    <xf borderId="0" fillId="0" fontId="64" numFmtId="0" xfId="0" applyAlignment="1" applyFont="1">
      <alignment vertical="bottom"/>
    </xf>
    <xf borderId="0" fillId="0" fontId="65" numFmtId="0" xfId="0" applyAlignment="1" applyFont="1">
      <alignment readingOrder="0" shrinkToFit="0" wrapText="0"/>
    </xf>
    <xf borderId="0" fillId="4" fontId="66" numFmtId="0" xfId="0" applyAlignment="1" applyFont="1">
      <alignment readingOrder="0" vertical="bottom"/>
    </xf>
    <xf borderId="0" fillId="2" fontId="59" numFmtId="0" xfId="0" applyAlignment="1" applyFont="1">
      <alignment readingOrder="0" shrinkToFit="0" wrapText="0"/>
    </xf>
    <xf borderId="0" fillId="2" fontId="67" numFmtId="0" xfId="0" applyAlignment="1" applyFont="1">
      <alignment readingOrder="0" shrinkToFit="0" wrapText="0"/>
    </xf>
    <xf borderId="0" fillId="2" fontId="68" numFmtId="0" xfId="0" applyAlignment="1" applyFont="1">
      <alignment readingOrder="0" shrinkToFit="0" wrapText="0"/>
    </xf>
    <xf borderId="0" fillId="0" fontId="69" numFmtId="0" xfId="0" applyAlignment="1" applyFont="1">
      <alignment readingOrder="0" vertical="bottom"/>
    </xf>
    <xf borderId="0" fillId="6" fontId="70" numFmtId="0" xfId="0" applyAlignment="1" applyFont="1">
      <alignment readingOrder="0" vertical="bottom"/>
    </xf>
    <xf borderId="0" fillId="2" fontId="48" numFmtId="0" xfId="0" applyAlignment="1" applyFont="1">
      <alignment readingOrder="0" vertical="bottom"/>
    </xf>
    <xf borderId="0" fillId="2" fontId="48" numFmtId="0" xfId="0" applyAlignment="1" applyFont="1">
      <alignment readingOrder="0" shrinkToFit="0" wrapText="0"/>
    </xf>
    <xf borderId="0" fillId="4" fontId="71" numFmtId="0" xfId="0" applyAlignment="1" applyFont="1">
      <alignment readingOrder="0" shrinkToFit="0" wrapText="0"/>
    </xf>
    <xf borderId="0" fillId="2" fontId="72" numFmtId="0" xfId="0" applyAlignment="1" applyFont="1">
      <alignment readingOrder="0"/>
    </xf>
    <xf borderId="0" fillId="0" fontId="73" numFmtId="0" xfId="0" applyAlignment="1" applyFont="1">
      <alignment readingOrder="0"/>
    </xf>
    <xf borderId="0" fillId="2" fontId="74" numFmtId="0" xfId="0" applyAlignment="1" applyFont="1">
      <alignment readingOrder="0"/>
    </xf>
    <xf borderId="0" fillId="0" fontId="75" numFmtId="0" xfId="0" applyAlignment="1" applyFont="1">
      <alignment readingOrder="0"/>
    </xf>
    <xf borderId="0" fillId="0" fontId="76" numFmtId="0" xfId="0" applyAlignment="1" applyFont="1">
      <alignment horizontal="left" readingOrder="0" shrinkToFit="0" wrapText="1"/>
    </xf>
    <xf borderId="0" fillId="0" fontId="77" numFmtId="0" xfId="0" applyAlignment="1" applyFont="1">
      <alignment readingOrder="0"/>
    </xf>
    <xf borderId="1" fillId="0" fontId="76" numFmtId="0" xfId="0" applyAlignment="1" applyBorder="1" applyFont="1">
      <alignment horizontal="left" readingOrder="0" shrinkToFit="0" wrapText="1"/>
    </xf>
    <xf borderId="1" fillId="0" fontId="8" numFmtId="0" xfId="0" applyAlignment="1" applyBorder="1" applyFont="1">
      <alignment readingOrder="0"/>
    </xf>
    <xf borderId="0" fillId="0" fontId="17" numFmtId="166" xfId="0" applyAlignment="1" applyFont="1" applyNumberFormat="1">
      <alignment readingOrder="0"/>
    </xf>
    <xf borderId="0" fillId="8" fontId="17" numFmtId="0" xfId="0" applyAlignment="1" applyFill="1" applyFont="1">
      <alignment readingOrder="0"/>
    </xf>
    <xf borderId="0" fillId="8" fontId="17" numFmtId="0" xfId="0" applyAlignment="1" applyFont="1">
      <alignment readingOrder="0"/>
    </xf>
    <xf borderId="0" fillId="8" fontId="1" numFmtId="0" xfId="0" applyFont="1"/>
    <xf borderId="0" fillId="2" fontId="0" numFmtId="0" xfId="0" applyAlignment="1" applyFont="1">
      <alignment readingOrder="0"/>
    </xf>
    <xf borderId="0" fillId="8" fontId="0" numFmtId="0" xfId="0" applyAlignment="1" applyFont="1">
      <alignment readingOrder="0"/>
    </xf>
    <xf borderId="0" fillId="8" fontId="1" numFmtId="0" xfId="0" applyAlignment="1" applyFont="1">
      <alignment readingOrder="0"/>
    </xf>
    <xf borderId="0" fillId="8" fontId="17" numFmtId="167" xfId="0" applyAlignment="1" applyFont="1" applyNumberFormat="1">
      <alignment readingOrder="0"/>
    </xf>
    <xf borderId="0" fillId="0" fontId="17" numFmtId="167" xfId="0" applyAlignment="1" applyFont="1" applyNumberFormat="1">
      <alignment readingOrder="0"/>
    </xf>
    <xf borderId="0" fillId="9" fontId="17" numFmtId="0" xfId="0" applyAlignment="1" applyFill="1" applyFont="1">
      <alignment readingOrder="0"/>
    </xf>
    <xf borderId="0" fillId="0" fontId="17" numFmtId="0" xfId="0" applyAlignment="1" applyFont="1">
      <alignment horizontal="right" readingOrder="0"/>
    </xf>
    <xf borderId="0" fillId="0" fontId="0" numFmtId="0" xfId="0" applyAlignment="1" applyFont="1">
      <alignment horizontal="right" readingOrder="0"/>
    </xf>
    <xf borderId="0" fillId="8" fontId="0" numFmtId="0" xfId="0" applyAlignment="1" applyFont="1">
      <alignment readingOrder="0" vertical="top"/>
    </xf>
    <xf borderId="0" fillId="8" fontId="17" numFmtId="0" xfId="0" applyFont="1"/>
    <xf borderId="0" fillId="2" fontId="78" numFmtId="0" xfId="0" applyAlignment="1" applyFont="1">
      <alignment readingOrder="0"/>
    </xf>
    <xf borderId="0" fillId="8" fontId="78" numFmtId="0" xfId="0" applyAlignment="1" applyFont="1">
      <alignment readingOrder="0"/>
    </xf>
    <xf borderId="0" fillId="8" fontId="79" numFmtId="0" xfId="0" applyAlignment="1" applyFont="1">
      <alignment readingOrder="0"/>
    </xf>
    <xf borderId="0" fillId="8" fontId="57" numFmtId="0" xfId="0" applyAlignment="1" applyFont="1">
      <alignment readingOrder="0"/>
    </xf>
    <xf quotePrefix="1" borderId="0" fillId="8" fontId="1" numFmtId="0" xfId="0" applyAlignment="1" applyFont="1">
      <alignment readingOrder="0"/>
    </xf>
    <xf borderId="0" fillId="0" fontId="3" numFmtId="0" xfId="0" applyAlignment="1" applyFont="1">
      <alignment readingOrder="0"/>
    </xf>
    <xf borderId="0" fillId="0" fontId="80" numFmtId="0" xfId="0" applyAlignment="1" applyFont="1">
      <alignment horizontal="left" readingOrder="0"/>
    </xf>
    <xf borderId="0" fillId="8" fontId="1" numFmtId="3" xfId="0" applyAlignment="1" applyFont="1" applyNumberFormat="1">
      <alignment readingOrder="0"/>
    </xf>
    <xf borderId="0" fillId="0" fontId="81" numFmtId="0" xfId="0" applyAlignment="1" applyFont="1">
      <alignment readingOrder="0" shrinkToFit="0" vertical="bottom" wrapText="0"/>
    </xf>
    <xf borderId="0" fillId="0" fontId="82" numFmtId="0" xfId="0" applyAlignment="1" applyFont="1">
      <alignment readingOrder="0" shrinkToFit="0" vertical="bottom" wrapText="0"/>
    </xf>
    <xf borderId="0" fillId="0" fontId="83" numFmtId="0" xfId="0" applyAlignment="1" applyFont="1">
      <alignment readingOrder="0" shrinkToFit="0" vertical="bottom" wrapText="0"/>
    </xf>
    <xf borderId="0" fillId="0" fontId="4" numFmtId="0" xfId="0" applyAlignment="1" applyFont="1">
      <alignment readingOrder="0" shrinkToFit="0" vertical="bottom" wrapText="0"/>
    </xf>
    <xf borderId="0" fillId="0" fontId="57" numFmtId="0" xfId="0" applyAlignment="1" applyFont="1">
      <alignment readingOrder="0" shrinkToFit="0" vertical="bottom" wrapText="0"/>
    </xf>
    <xf borderId="0" fillId="0" fontId="84" numFmtId="0" xfId="0" applyAlignment="1" applyFont="1">
      <alignment readingOrder="0" shrinkToFit="0" vertical="bottom" wrapText="0"/>
    </xf>
    <xf borderId="0" fillId="0" fontId="3" numFmtId="168" xfId="0" applyAlignment="1" applyFont="1" applyNumberFormat="1">
      <alignment horizontal="right" readingOrder="0" shrinkToFit="0" vertical="bottom" wrapText="0"/>
    </xf>
    <xf borderId="0" fillId="0" fontId="3" numFmtId="0" xfId="0" applyAlignment="1" applyFont="1">
      <alignment shrinkToFit="0" vertical="bottom" wrapText="0"/>
    </xf>
    <xf borderId="0" fillId="0" fontId="85" numFmtId="0" xfId="0" applyAlignment="1" applyFont="1">
      <alignment shrinkToFit="0" vertical="bottom" wrapText="0"/>
    </xf>
    <xf borderId="0" fillId="10" fontId="3" numFmtId="0" xfId="0" applyAlignment="1" applyFill="1" applyFont="1">
      <alignment shrinkToFit="0" vertical="bottom" wrapText="0"/>
    </xf>
    <xf borderId="0" fillId="10" fontId="86" numFmtId="0" xfId="0" applyAlignment="1" applyFont="1">
      <alignment shrinkToFit="0" vertical="bottom" wrapText="0"/>
    </xf>
    <xf borderId="0" fillId="0" fontId="87"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VIER ARROYO GALLARDO" id="{a7c8dda2-b3d9-4a72-b32d-f5cdcaee68dd}"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C64" sheet="Form responses 1"/>
  </cacheSource>
  <cacheFields>
    <cacheField name="Email address" numFmtId="0">
      <sharedItems>
        <s v="lleshlleshaj@feut.edu.al"/>
        <s v="eliona.gremi@uniel.edu.al"/>
        <s v="tidjani.chemseddine@gmail.com"/>
        <s v="ronald.hochreiter@wu.ac.at"/>
        <s v="aivanisev@net.efzg.hr"/>
        <s v="svlahjeric@gmail.com"/>
        <s v="georgiou.i@unic.ac.cy"/>
        <s v="petr.hajek@upce.cz"/>
        <s v="luislore@ucm.es"/>
        <s v="laivi.laidroo@taltech.ee"/>
        <s v="innar.liiv@taltech.ee"/>
        <s v="roman.matkovskyy@rennes-sb.com"/>
        <s v="elias.tsigaridas@inria.fr"/>
        <s v="haerdle@hu-berlin.de"/>
        <s v="allapetukhina@icloud.com"/>
        <s v="veniarakelian@yahoo.com"/>
        <s v="tolis.chal@gmail.com"/>
        <s v="trimborn.econometrics@gmail.com"/>
        <s v="molnarba@inf.elte.hu"/>
        <s v="rupelnargunam25@gmail.com"/>
        <s v="valerio.poti@ucd.ie"/>
        <s v="vassilios.papavassiliou@ucd.ie"/>
        <s v="alessandra.tanda@unipv.it"/>
        <s v="daniele.marazzina@polimi.it"/>
        <s v="maria.iannario@unina.it"/>
        <s v="rr@lu.lv"/>
        <s v="audkaba@ktu.lt"/>
        <s v="kristina.sutiene@ktu.lt"/>
        <s v="angele@acrosslimits.com"/>
        <s v="dbevan@stmartins.edu"/>
        <s v="lameski@finki.ukim.mk"/>
        <s v="r.j.kleverlaan@uu.nl"/>
        <s v="olivijaf@gmail.com"/>
        <s v="rita.pimentel@ntnu.no"/>
        <s v="kbolesta96@gmail.com"/>
        <s v="pwojcik@wne.uw.edu.pl"/>
        <s v="catarina@dei.uc.pt"/>
        <s v="albulena.shala@uni-pr.edu"/>
        <s v="coita.iflorina@gmail.com"/>
        <s v="stefana.cioban@ubbcluj.ro"/>
        <s v="codruta.mare@gmail.com"/>
        <s v="danpele@ase.ro"/>
        <s v="ciprian.sipos@e-uvt.ro"/>
        <s v="miljan.vucetic@vlatacom.com"/>
        <s v="denis.trcek@guest.arnes.si"/>
        <s v="saso.karakatic@um.si"/>
        <s v="javier.arroyo@fdi.ucm.es"/>
        <s v="brankahm@gmail.com"/>
        <s v="scwp@zhaw.ch"/>
        <s v="josterri@googlemail.com"/>
        <s v="lbarjaktarovic@singidunum.ac.rs"/>
        <s v="heb1@bfh.ch"/>
        <s v="belma.ozturkkal@khas.edu.tr"/>
      </sharedItems>
    </cacheField>
    <cacheField name="Which country are you affiliated to? (use Switzerland instead of CH)" numFmtId="0">
      <sharedItems>
        <s v="Albania"/>
        <s v="Algeria"/>
        <s v="Austria"/>
        <s v="Croatia"/>
        <s v="Cyprus"/>
        <s v="Czech Republic"/>
        <s v="España"/>
        <s v="Estonia"/>
        <s v="France"/>
        <s v="Germany"/>
        <s v="Greece"/>
        <s v="Hong Kong"/>
        <s v="Hungary"/>
        <s v="India"/>
        <s v="Ireland"/>
        <s v="Italy"/>
        <s v="Latvia"/>
        <s v="Lithuania"/>
        <s v="Malta"/>
        <s v="N. Macedonia"/>
        <s v="Netherlands"/>
        <s v="North Macedonia"/>
        <s v="Norway"/>
        <s v="Poland"/>
        <s v="Portugal"/>
        <s v="Republic of Kosovo"/>
        <s v="Romania"/>
        <s v="Serbia"/>
        <s v="Slovenia"/>
        <s v="Spain"/>
        <s v="Switzerland"/>
        <s v="CH"/>
        <s v="Switzerland "/>
        <s v="Turkey"/>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compact="0" compactData="0">
  <location ref="A1:B36" firstHeaderRow="0" firstDataRow="1" firstDataCol="0"/>
  <pivotFields>
    <pivotField name="Email addres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Which country are you affiliated to? (use Switzerland instead of CH)" axis="axisRow" compact="0" outline="0" multipleItemSelectionAllowed="1" showAll="0" sortType="ascending">
      <items>
        <item x="0"/>
        <item x="1"/>
        <item x="2"/>
        <item x="31"/>
        <item x="3"/>
        <item x="4"/>
        <item x="5"/>
        <item x="6"/>
        <item x="7"/>
        <item x="8"/>
        <item x="9"/>
        <item x="10"/>
        <item x="11"/>
        <item x="12"/>
        <item x="13"/>
        <item x="14"/>
        <item x="15"/>
        <item x="16"/>
        <item x="17"/>
        <item x="18"/>
        <item x="19"/>
        <item x="20"/>
        <item x="21"/>
        <item x="22"/>
        <item x="23"/>
        <item x="24"/>
        <item x="25"/>
        <item x="26"/>
        <item x="27"/>
        <item x="28"/>
        <item x="29"/>
        <item x="30"/>
        <item x="32"/>
        <item x="33"/>
        <item t="default"/>
      </items>
    </pivotField>
  </pivotFields>
  <rowFields>
    <field x="1"/>
  </rowFields>
  <dataFields>
    <dataField name="COUNTA of Email address"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2" dT="2022-09-19T15:28:59.00" personId="{a7c8dda2-b3d9-4a72-b32d-f5cdcaee68dd}" id="{2f94cc05-c4ae-4e3c-bed9-3a7ede38e9e2}" done="0">
    <x18tc:text xml:space="preserve">Proposal funded in 2018... surely, it should not go here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docs.google.com/document/d/1g0peRJ3XNgu30mCtF8ryr7RWUX1eSjAe/edit?usp=sharing&amp;ouid=100307204068834796883&amp;rtpof=true&amp;sd=true" TargetMode="External"/><Relationship Id="rId22" Type="http://schemas.openxmlformats.org/officeDocument/2006/relationships/hyperlink" Target="https://docs.google.com/document/d/154fyD4OXUepnaxETMyAcJDFOiPuJhIv2/edit?usp=sharing&amp;ouid=114838286075587525311&amp;rtpof=true&amp;sd=true" TargetMode="External"/><Relationship Id="rId21" Type="http://schemas.openxmlformats.org/officeDocument/2006/relationships/hyperlink" Target="https://docs.google.com/document/d/165BiTMN2cpdH9UaH1EoZ4gcPsFYYHuL6T6L7TAy2sZw/edit" TargetMode="External"/><Relationship Id="rId24" Type="http://schemas.openxmlformats.org/officeDocument/2006/relationships/hyperlink" Target="https://docs.google.com/document/d/1RXh0FtykIGpPB9L7O8TSTJ8tTOjXQcSB/edit" TargetMode="External"/><Relationship Id="rId23" Type="http://schemas.openxmlformats.org/officeDocument/2006/relationships/hyperlink" Target="https://docs.google.com/document/d/1CwocoD6YQq1Nz_XIavnC81e92psgkVAR/edit" TargetMode="External"/><Relationship Id="rId1" Type="http://schemas.openxmlformats.org/officeDocument/2006/relationships/hyperlink" Target="https://docs.google.com/document/d/1Y0w27959kx0P0g-7Fgd3cu4Yd46gZ2OFnh4FJUsgIS8/edit" TargetMode="External"/><Relationship Id="rId2" Type="http://schemas.openxmlformats.org/officeDocument/2006/relationships/hyperlink" Target="https://docs.google.com/document/d/1Y0w27959kx0P0g-7Fgd3cu4Yd46gZ2OFnh4FJUsgIS8/edit" TargetMode="External"/><Relationship Id="rId3" Type="http://schemas.openxmlformats.org/officeDocument/2006/relationships/hyperlink" Target="https://docs.google.com/document/d/1iOZrM7AnjALr_yjkkJOtuyzlYeNvi_Xs4ehVZQZNGaA/edit" TargetMode="External"/><Relationship Id="rId4" Type="http://schemas.openxmlformats.org/officeDocument/2006/relationships/hyperlink" Target="https://docs.google.com/document/d/1BQPSzzDD8ycMBYnslpMdt1KrmjO9FPFk1g5prmcguMo/edit?usp=sharing" TargetMode="External"/><Relationship Id="rId9" Type="http://schemas.openxmlformats.org/officeDocument/2006/relationships/hyperlink" Target="https://docs.google.com/document/d/1YPxHBY2v8zGAL2bDBYXSWlD74VCGJwS7FduI8T_YJ6c/edit" TargetMode="External"/><Relationship Id="rId26" Type="http://schemas.openxmlformats.org/officeDocument/2006/relationships/hyperlink" Target="https://docs.google.com/document/d/1YIExduOhquNsFWPWwnBZg9Tn2GQ8SevvT-MU68x97cQ/edit" TargetMode="External"/><Relationship Id="rId25" Type="http://schemas.openxmlformats.org/officeDocument/2006/relationships/hyperlink" Target="https://docs.google.com/document/d/13H0x92x_1CnXmz1W38Yyl9RgCUuEa9gjrkmjVvU92qE/edit?usp=sharing" TargetMode="External"/><Relationship Id="rId28" Type="http://schemas.openxmlformats.org/officeDocument/2006/relationships/hyperlink" Target="https://docs.google.com/document/d/1Av8VJLbeUocD7klHcIvLvVr_JCGFxjap/edit?usp=sharing&amp;ouid=116591962908536436994&amp;rtpof=true&amp;sd=true" TargetMode="External"/><Relationship Id="rId27" Type="http://schemas.openxmlformats.org/officeDocument/2006/relationships/hyperlink" Target="https://docs.google.com/document/d/1uYG9HhIzCTZ1EDZC3G-eH4Yia8KFFpk2dScGNVDIA_Y/edit" TargetMode="External"/><Relationship Id="rId5" Type="http://schemas.openxmlformats.org/officeDocument/2006/relationships/hyperlink" Target="https://docs.google.com/document/d/1y36UVVrMeOXD3s3liJ7ecwAvajoizWXoAe_Bli9Wys8/edit" TargetMode="External"/><Relationship Id="rId6" Type="http://schemas.openxmlformats.org/officeDocument/2006/relationships/hyperlink" Target="https://docs.google.com/document/d/1oO7bb8LGn88X4S9V7P6NAFD765PrfGRM/edit?usp=sharing&amp;ouid=105279148080483818425&amp;rtpof=true&amp;sd=true" TargetMode="External"/><Relationship Id="rId29" Type="http://schemas.openxmlformats.org/officeDocument/2006/relationships/hyperlink" Target="https://docs.google.com/presentation/d/1vNClf1_yMVSIljvjaHS49utYK4Py0Juh/edit?usp=sharing&amp;ouid=116591962908536436994&amp;rtpof=true&amp;sd=true" TargetMode="External"/><Relationship Id="rId7" Type="http://schemas.openxmlformats.org/officeDocument/2006/relationships/hyperlink" Target="https://docs.google.com/document/d/1lrRwi7e_8bFQB39NKm4DgD-tgEZI6hcY/edit" TargetMode="External"/><Relationship Id="rId8" Type="http://schemas.openxmlformats.org/officeDocument/2006/relationships/hyperlink" Target="https://docs.google.com/document/d/18jME8nOvpYpCJZtKBuItQSCE33jCXDtyfpp5GE9rN8s/edit" TargetMode="External"/><Relationship Id="rId31" Type="http://schemas.openxmlformats.org/officeDocument/2006/relationships/hyperlink" Target="https://docs.google.com/document/d/1Xbc1HA5kamGsx31WRNKZDYFTOwyMCiYduwVKA2mNWsE/edit" TargetMode="External"/><Relationship Id="rId30" Type="http://schemas.openxmlformats.org/officeDocument/2006/relationships/hyperlink" Target="https://docs.google.com/document/d/1-opk_sBx_lDHkVqf8APVDfvIh3mvlj10/edit" TargetMode="External"/><Relationship Id="rId11" Type="http://schemas.openxmlformats.org/officeDocument/2006/relationships/hyperlink" Target="https://docs.google.com/document/d/1s2FJdQyUJl4b_POWwJvYLueVupqzezUc2EGpuq5Zpy0/edit?usp=sharing" TargetMode="External"/><Relationship Id="rId33" Type="http://schemas.openxmlformats.org/officeDocument/2006/relationships/hyperlink" Target="https://docs.google.com/document/d/1nQUCSv0YWMkRowrQU44uzVweUoCf0Cl8aUw78bj0V9o/edit" TargetMode="External"/><Relationship Id="rId10" Type="http://schemas.openxmlformats.org/officeDocument/2006/relationships/hyperlink" Target="https://docs.google.com/document/d/10xC_zEA3APqy0OqtIWPDivF9XtI20Y16Vy2BLWqqvQM/edit" TargetMode="External"/><Relationship Id="rId32" Type="http://schemas.openxmlformats.org/officeDocument/2006/relationships/hyperlink" Target="https://docs.google.com/document/d/1gCX7wuxcol0bB34DWD_VhJ0it7Aww1algEeVeVDCWrw/edit?usp=sharing" TargetMode="External"/><Relationship Id="rId13" Type="http://schemas.openxmlformats.org/officeDocument/2006/relationships/hyperlink" Target="https://docs.google.com/document/d/1zCJ0b3kScjtx6c3xAdEpjorVLjTmPsBdOCqavMGs1OA/edit?usp=sharing" TargetMode="External"/><Relationship Id="rId35" Type="http://schemas.openxmlformats.org/officeDocument/2006/relationships/drawing" Target="../drawings/drawing5.xml"/><Relationship Id="rId12" Type="http://schemas.openxmlformats.org/officeDocument/2006/relationships/hyperlink" Target="https://docs.google.com/document/d/140mQ2ePur80UbqIjNI2w4RpgqtqLjWTlspFwqMBxqAY/edit?usp=sharing" TargetMode="External"/><Relationship Id="rId34" Type="http://schemas.openxmlformats.org/officeDocument/2006/relationships/hyperlink" Target="https://docs.google.com/document/d/1nQUCSv0YWMkRowrQU44uzVweUoCf0Cl8aUw78bj0V9o/edit" TargetMode="External"/><Relationship Id="rId15" Type="http://schemas.openxmlformats.org/officeDocument/2006/relationships/hyperlink" Target="https://docs.google.com/document/d/1cIIZXssqNfgArRh5nNxZxjot95C4U3X7wKvnAZSLoHc/edit?usp=sharing" TargetMode="External"/><Relationship Id="rId14" Type="http://schemas.openxmlformats.org/officeDocument/2006/relationships/hyperlink" Target="https://docs.google.com/document/d/1Rw1CF21ASPSzI_Q7HIjCUI-RS1wizLlwmND2ob-cgeg/edit" TargetMode="External"/><Relationship Id="rId17" Type="http://schemas.openxmlformats.org/officeDocument/2006/relationships/hyperlink" Target="https://docs.google.com/document/d/1NFE0Qk8SF_guVBBbSwM5ReFXamp0f5FVPs7lceulR5c/edit?usp=sharing" TargetMode="External"/><Relationship Id="rId16" Type="http://schemas.openxmlformats.org/officeDocument/2006/relationships/hyperlink" Target="https://docs.google.com/document/d/1puJMR1go9Ff5Zce1XB4nOD6c4XMiyMgva0Ximavhcx0/edit" TargetMode="External"/><Relationship Id="rId19" Type="http://schemas.openxmlformats.org/officeDocument/2006/relationships/hyperlink" Target="https://docs.google.com/document/d/15aJpyctdKGChmTmZvojNtLrPXKc0UHXT0P2g6azpWos/edit?usp=sharing" TargetMode="External"/><Relationship Id="rId18" Type="http://schemas.openxmlformats.org/officeDocument/2006/relationships/hyperlink" Target="https://docs.google.com/document/d/1TxnRdadvV30loGWMaMJ5HyooUFrIfRZdFVoSFqDQeRA/edit?usp=sharing"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doi.org/10.1007/s42521-021-00031-9" TargetMode="External"/><Relationship Id="rId42" Type="http://schemas.openxmlformats.org/officeDocument/2006/relationships/hyperlink" Target="https://doi.org/10.1007/s43546-021-00057-6" TargetMode="External"/><Relationship Id="rId41" Type="http://schemas.openxmlformats.org/officeDocument/2006/relationships/hyperlink" Target="https://doi.org/10.1007/s42521-021-00043-5" TargetMode="External"/><Relationship Id="rId44" Type="http://schemas.openxmlformats.org/officeDocument/2006/relationships/hyperlink" Target="https://doi.org/10.48550/arXiv.2208.12614" TargetMode="External"/><Relationship Id="rId43" Type="http://schemas.openxmlformats.org/officeDocument/2006/relationships/hyperlink" Target="https://doi.org/10.1007/978-3-030-73443-5_94-1" TargetMode="External"/><Relationship Id="rId46" Type="http://schemas.openxmlformats.org/officeDocument/2006/relationships/hyperlink" Target="http://dx.doi.org/10.2139/ssrn.3809329;" TargetMode="External"/><Relationship Id="rId45" Type="http://schemas.openxmlformats.org/officeDocument/2006/relationships/hyperlink" Target="https://doi.org/10.1016/j.ribaf.2021.101594" TargetMode="External"/><Relationship Id="rId107" Type="http://schemas.openxmlformats.org/officeDocument/2006/relationships/hyperlink" Target="mailto:codruta.mare@econ.ubbcluj.ro" TargetMode="External"/><Relationship Id="rId106" Type="http://schemas.openxmlformats.org/officeDocument/2006/relationships/hyperlink" Target="https://doi.org/10.3390/risks9060104" TargetMode="External"/><Relationship Id="rId105" Type="http://schemas.openxmlformats.org/officeDocument/2006/relationships/hyperlink" Target="mailto:codruta.mare@econ.ubbcluj.ro" TargetMode="External"/><Relationship Id="rId104" Type="http://schemas.openxmlformats.org/officeDocument/2006/relationships/hyperlink" Target="https://doi.org/10.3390/risks9060116" TargetMode="External"/><Relationship Id="rId109" Type="http://schemas.openxmlformats.org/officeDocument/2006/relationships/hyperlink" Target="https://doi.org/10.1007/s10198-022-01506-1" TargetMode="External"/><Relationship Id="rId108" Type="http://schemas.openxmlformats.org/officeDocument/2006/relationships/hyperlink" Target="mailto:codruta.mare@econ.ubbcluj.ro" TargetMode="External"/><Relationship Id="rId48" Type="http://schemas.openxmlformats.org/officeDocument/2006/relationships/hyperlink" Target="https://dx.doi.org/10.2139/ssrn.3911490" TargetMode="External"/><Relationship Id="rId47" Type="http://schemas.openxmlformats.org/officeDocument/2006/relationships/hyperlink" Target="https://doi.org/10.48550/arXiv.2107.08808" TargetMode="External"/><Relationship Id="rId49" Type="http://schemas.openxmlformats.org/officeDocument/2006/relationships/hyperlink" Target="https://doi.org/10.1007/s42521-022-00048-8" TargetMode="External"/><Relationship Id="rId103" Type="http://schemas.openxmlformats.org/officeDocument/2006/relationships/hyperlink" Target="https://doi.org/10.1080/1351847X.2021.1960403" TargetMode="External"/><Relationship Id="rId102" Type="http://schemas.openxmlformats.org/officeDocument/2006/relationships/hyperlink" Target="https://doi.org/10.1007/978-981-16-2765-1_6" TargetMode="External"/><Relationship Id="rId101" Type="http://schemas.openxmlformats.org/officeDocument/2006/relationships/hyperlink" Target="https://doi.org/10.1007/978-3-031-16474-3_40" TargetMode="External"/><Relationship Id="rId100" Type="http://schemas.openxmlformats.org/officeDocument/2006/relationships/hyperlink" Target="https://doi.org/10.3389/frai.2021.718450" TargetMode="External"/><Relationship Id="rId31" Type="http://schemas.openxmlformats.org/officeDocument/2006/relationships/hyperlink" Target="https://doi.org/10.1016/j.econlet.2022.110877" TargetMode="External"/><Relationship Id="rId30" Type="http://schemas.openxmlformats.org/officeDocument/2006/relationships/hyperlink" Target="https://doi.org/10.1016/j.frl.2021.102162" TargetMode="External"/><Relationship Id="rId33" Type="http://schemas.openxmlformats.org/officeDocument/2006/relationships/hyperlink" Target="https://doi.org/10.1214/20-AOS2019" TargetMode="External"/><Relationship Id="rId32" Type="http://schemas.openxmlformats.org/officeDocument/2006/relationships/hyperlink" Target="https://doi.org/10.1007/s42521-021-00045-3" TargetMode="External"/><Relationship Id="rId35" Type="http://schemas.openxmlformats.org/officeDocument/2006/relationships/hyperlink" Target="https://doi.org/10.1016/j.jspi.2020.10.007" TargetMode="External"/><Relationship Id="rId34" Type="http://schemas.openxmlformats.org/officeDocument/2006/relationships/hyperlink" Target="https://doi.org/10.1080/14697688.2021.1880023" TargetMode="External"/><Relationship Id="rId37" Type="http://schemas.openxmlformats.org/officeDocument/2006/relationships/hyperlink" Target="https://doi.org/10.1016/j.jedc.2021.104290" TargetMode="External"/><Relationship Id="rId36" Type="http://schemas.openxmlformats.org/officeDocument/2006/relationships/hyperlink" Target="https://doi.org/10.1111/rssc.12499" TargetMode="External"/><Relationship Id="rId39" Type="http://schemas.openxmlformats.org/officeDocument/2006/relationships/hyperlink" Target="https://dx.doi.org/10.2139/ssrn.3724814" TargetMode="External"/><Relationship Id="rId38" Type="http://schemas.openxmlformats.org/officeDocument/2006/relationships/hyperlink" Target="https://doi.org/10.1016/j.irfa.2021.101915" TargetMode="External"/><Relationship Id="rId20" Type="http://schemas.openxmlformats.org/officeDocument/2006/relationships/hyperlink" Target="http://doi.org/10.1016/j.omega.2019.05.004" TargetMode="External"/><Relationship Id="rId22" Type="http://schemas.openxmlformats.org/officeDocument/2006/relationships/hyperlink" Target="https://doi.org/10.1007/978-981-16-2418-6" TargetMode="External"/><Relationship Id="rId21" Type="http://schemas.openxmlformats.org/officeDocument/2006/relationships/hyperlink" Target="http://doi.org/10.1016/j.ejor.2019.12.002" TargetMode="External"/><Relationship Id="rId24" Type="http://schemas.openxmlformats.org/officeDocument/2006/relationships/hyperlink" Target="https://doi.org/10.1016/j.irfa.2021.101958" TargetMode="External"/><Relationship Id="rId23" Type="http://schemas.openxmlformats.org/officeDocument/2006/relationships/hyperlink" Target="https://doi.org/10.1016/j.intfin.2021.101321" TargetMode="External"/><Relationship Id="rId129" Type="http://schemas.openxmlformats.org/officeDocument/2006/relationships/hyperlink" Target="https://doi.org/10.2139/ssrn.4087569" TargetMode="External"/><Relationship Id="rId128" Type="http://schemas.openxmlformats.org/officeDocument/2006/relationships/hyperlink" Target="https://doi.org/10.2139/ssrn.4087569" TargetMode="External"/><Relationship Id="rId127" Type="http://schemas.openxmlformats.org/officeDocument/2006/relationships/hyperlink" Target="https://doi.org/10.2139/ssrn.3858730" TargetMode="External"/><Relationship Id="rId126" Type="http://schemas.openxmlformats.org/officeDocument/2006/relationships/hyperlink" Target="https://doi.org/10.1007/s42521-022-00063-9" TargetMode="External"/><Relationship Id="rId26" Type="http://schemas.openxmlformats.org/officeDocument/2006/relationships/hyperlink" Target="https://doi.org/10.1080/00036846.2020.1854671" TargetMode="External"/><Relationship Id="rId121" Type="http://schemas.openxmlformats.org/officeDocument/2006/relationships/hyperlink" Target="https://doi.org/10.2139/ssrn.3867800" TargetMode="External"/><Relationship Id="rId25" Type="http://schemas.openxmlformats.org/officeDocument/2006/relationships/hyperlink" Target="https://doi.org/10.1080/1351847X.2020.1869992" TargetMode="External"/><Relationship Id="rId120" Type="http://schemas.openxmlformats.org/officeDocument/2006/relationships/hyperlink" Target="https://doi.org/10.2139/ssrn.3865019" TargetMode="External"/><Relationship Id="rId28" Type="http://schemas.openxmlformats.org/officeDocument/2006/relationships/hyperlink" Target="https://doi.org/10.1016/j.qref.2020.02.004" TargetMode="External"/><Relationship Id="rId27" Type="http://schemas.openxmlformats.org/officeDocument/2006/relationships/hyperlink" Target="https://doi.org/10.1016/j.frl.2019.101405" TargetMode="External"/><Relationship Id="rId125" Type="http://schemas.openxmlformats.org/officeDocument/2006/relationships/hyperlink" Target="https://doi.org/10.3389/frai.2021.794996" TargetMode="External"/><Relationship Id="rId29" Type="http://schemas.openxmlformats.org/officeDocument/2006/relationships/hyperlink" Target="https://www.jstor.org/stable/48618930" TargetMode="External"/><Relationship Id="rId124" Type="http://schemas.openxmlformats.org/officeDocument/2006/relationships/hyperlink" Target="https://doi.org/10.2139/ssrn.3898792" TargetMode="External"/><Relationship Id="rId123" Type="http://schemas.openxmlformats.org/officeDocument/2006/relationships/hyperlink" Target="https://doi.org/10.2139/ssrn.3864867" TargetMode="External"/><Relationship Id="rId122" Type="http://schemas.openxmlformats.org/officeDocument/2006/relationships/hyperlink" Target="https://doi.org/10.2139/ssrn.3864965" TargetMode="External"/><Relationship Id="rId95" Type="http://schemas.openxmlformats.org/officeDocument/2006/relationships/hyperlink" Target="https://doi.org/10.1007/s42521-022-00065-7" TargetMode="External"/><Relationship Id="rId94" Type="http://schemas.openxmlformats.org/officeDocument/2006/relationships/hyperlink" Target="https://doi.org/10.15388/DAMSS.13.2022" TargetMode="External"/><Relationship Id="rId97" Type="http://schemas.openxmlformats.org/officeDocument/2006/relationships/hyperlink" Target="https://doi.org/10.3390/en15103839" TargetMode="External"/><Relationship Id="rId96" Type="http://schemas.openxmlformats.org/officeDocument/2006/relationships/hyperlink" Target="https://doi.org/10.1016/j.apenergy.2022.119182" TargetMode="External"/><Relationship Id="rId11" Type="http://schemas.openxmlformats.org/officeDocument/2006/relationships/hyperlink" Target="http://doi.org/10.1007/s11634-022-00508-4" TargetMode="External"/><Relationship Id="rId99" Type="http://schemas.openxmlformats.org/officeDocument/2006/relationships/hyperlink" Target="https://doi.org/10.1007/978-3-030-56219-9_9" TargetMode="External"/><Relationship Id="rId10" Type="http://schemas.openxmlformats.org/officeDocument/2006/relationships/hyperlink" Target="https://doi.org/10.4018/978-1-7998-5083-0.ch010" TargetMode="External"/><Relationship Id="rId98" Type="http://schemas.openxmlformats.org/officeDocument/2006/relationships/hyperlink" Target="https://doi.org/10.1504/IJCEE.2021.10043332" TargetMode="External"/><Relationship Id="rId13" Type="http://schemas.openxmlformats.org/officeDocument/2006/relationships/hyperlink" Target="http://doi.org/10.1016/j.ejor.2021.12.022" TargetMode="External"/><Relationship Id="rId12" Type="http://schemas.openxmlformats.org/officeDocument/2006/relationships/hyperlink" Target="http://doi.org/10.1016/j.eswa.2022.117423" TargetMode="External"/><Relationship Id="rId91" Type="http://schemas.openxmlformats.org/officeDocument/2006/relationships/hyperlink" Target="https://doi.org/10.1007/s42521-022-00062-w" TargetMode="External"/><Relationship Id="rId90" Type="http://schemas.openxmlformats.org/officeDocument/2006/relationships/hyperlink" Target="https://doi.org/10.1016/j.eswa.2020.114104" TargetMode="External"/><Relationship Id="rId93" Type="http://schemas.openxmlformats.org/officeDocument/2006/relationships/hyperlink" Target="https://doi.org/10.3389/frai.2022.827584" TargetMode="External"/><Relationship Id="rId92" Type="http://schemas.openxmlformats.org/officeDocument/2006/relationships/hyperlink" Target="https://doi.org/10.3390/math9172086" TargetMode="External"/><Relationship Id="rId118" Type="http://schemas.openxmlformats.org/officeDocument/2006/relationships/hyperlink" Target="https://doi.org/10.2139/ssrn.3796351" TargetMode="External"/><Relationship Id="rId117" Type="http://schemas.openxmlformats.org/officeDocument/2006/relationships/hyperlink" Target="https://doi.org/10.1007/s42521-022-00063-9" TargetMode="External"/><Relationship Id="rId116" Type="http://schemas.openxmlformats.org/officeDocument/2006/relationships/hyperlink" Target="https://doi.org/10.1186/s40854-021-00310-9" TargetMode="External"/><Relationship Id="rId115" Type="http://schemas.openxmlformats.org/officeDocument/2006/relationships/hyperlink" Target="https://doi.org/10.1016/j.elerap.2021.101079" TargetMode="External"/><Relationship Id="rId119" Type="http://schemas.openxmlformats.org/officeDocument/2006/relationships/hyperlink" Target="https://doi.org/10.3389/frai.2021.668465" TargetMode="External"/><Relationship Id="rId15" Type="http://schemas.openxmlformats.org/officeDocument/2006/relationships/hyperlink" Target="http://doi.org/10.1016/j.eswa.2021.115245" TargetMode="External"/><Relationship Id="rId110" Type="http://schemas.openxmlformats.org/officeDocument/2006/relationships/hyperlink" Target="mailto:codruta.mare@econ.ubbcluj.ro" TargetMode="External"/><Relationship Id="rId14" Type="http://schemas.openxmlformats.org/officeDocument/2006/relationships/hyperlink" Target="http://doi.org/10.1016/j.omega.2021.102543" TargetMode="External"/><Relationship Id="rId17" Type="http://schemas.openxmlformats.org/officeDocument/2006/relationships/hyperlink" Target="http://doi.org/10.1016/j.cor.2021.105281" TargetMode="External"/><Relationship Id="rId16" Type="http://schemas.openxmlformats.org/officeDocument/2006/relationships/hyperlink" Target="http://doi.org/10.1016/j.ejor.2021.04.016" TargetMode="External"/><Relationship Id="rId19" Type="http://schemas.openxmlformats.org/officeDocument/2006/relationships/hyperlink" Target="http://doi.org/10.1080/00273171.2019.1677208" TargetMode="External"/><Relationship Id="rId114" Type="http://schemas.openxmlformats.org/officeDocument/2006/relationships/hyperlink" Target="https://doi.org/10.1016/j.ipm.2021.102848" TargetMode="External"/><Relationship Id="rId18" Type="http://schemas.openxmlformats.org/officeDocument/2006/relationships/hyperlink" Target="http://doi.org/10.1007/s11750-021-00594-1" TargetMode="External"/><Relationship Id="rId113" Type="http://schemas.openxmlformats.org/officeDocument/2006/relationships/hyperlink" Target="https://doi.org/10.1016/j.ipm.2021.102848" TargetMode="External"/><Relationship Id="rId112" Type="http://schemas.openxmlformats.org/officeDocument/2006/relationships/hyperlink" Target="https://doi.org/10.15308/finiz-2020-97-102" TargetMode="External"/><Relationship Id="rId111" Type="http://schemas.openxmlformats.org/officeDocument/2006/relationships/hyperlink" Target="https://doi.org/10.1007/s10198-022-01506-1" TargetMode="External"/><Relationship Id="rId84" Type="http://schemas.openxmlformats.org/officeDocument/2006/relationships/hyperlink" Target="https://doi.org/10.1007/s42521-022-00060-y" TargetMode="External"/><Relationship Id="rId83" Type="http://schemas.openxmlformats.org/officeDocument/2006/relationships/hyperlink" Target="https://doi.org/10.1007/s42521-021-00045-3" TargetMode="External"/><Relationship Id="rId86" Type="http://schemas.openxmlformats.org/officeDocument/2006/relationships/hyperlink" Target="https://doi.org/10.1016/j.frl.2022.103411" TargetMode="External"/><Relationship Id="rId85" Type="http://schemas.openxmlformats.org/officeDocument/2006/relationships/hyperlink" Target="https://dx.doi.org/10.2139/ssrn.4173890" TargetMode="External"/><Relationship Id="rId88" Type="http://schemas.openxmlformats.org/officeDocument/2006/relationships/hyperlink" Target="https://doi.org/10.1016/j.eswa.2021.116261" TargetMode="External"/><Relationship Id="rId87" Type="http://schemas.openxmlformats.org/officeDocument/2006/relationships/hyperlink" Target="https://doi.org/10.1007/s42521-022-00055-9" TargetMode="External"/><Relationship Id="rId89" Type="http://schemas.openxmlformats.org/officeDocument/2006/relationships/hyperlink" Target="https://doi.org/10.1016/j.frl.2022.102941" TargetMode="External"/><Relationship Id="rId80" Type="http://schemas.openxmlformats.org/officeDocument/2006/relationships/hyperlink" Target="https://doi.org/10.3390/forecast3030030" TargetMode="External"/><Relationship Id="rId82" Type="http://schemas.openxmlformats.org/officeDocument/2006/relationships/hyperlink" Target="https://doi.org/10.1016/j.econlet.2022.110734" TargetMode="External"/><Relationship Id="rId81" Type="http://schemas.openxmlformats.org/officeDocument/2006/relationships/hyperlink" Target="https://doi.org/10.1007/s10551-021-04842-z" TargetMode="External"/><Relationship Id="rId1" Type="http://schemas.openxmlformats.org/officeDocument/2006/relationships/hyperlink" Target="http://dx.doi.org/10.13189/ujaf.2020.080402" TargetMode="External"/><Relationship Id="rId2" Type="http://schemas.openxmlformats.org/officeDocument/2006/relationships/hyperlink" Target="http://dx.doi.org/10.37394/23207.2021.18.102" TargetMode="External"/><Relationship Id="rId3" Type="http://schemas.openxmlformats.org/officeDocument/2006/relationships/hyperlink" Target="https://link.springer.com/article/10.1007/s42521-022-00054-w" TargetMode="External"/><Relationship Id="rId4" Type="http://schemas.openxmlformats.org/officeDocument/2006/relationships/hyperlink" Target="https://academic.oup.com/jfec/article/18/2/233/5133597" TargetMode="External"/><Relationship Id="rId9" Type="http://schemas.openxmlformats.org/officeDocument/2006/relationships/hyperlink" Target="https://doi.org/10.4324/9781003144410-8" TargetMode="External"/><Relationship Id="rId5" Type="http://schemas.openxmlformats.org/officeDocument/2006/relationships/hyperlink" Target="https://doi.org/10.1093/jjfinec/nby023" TargetMode="External"/><Relationship Id="rId6" Type="http://schemas.openxmlformats.org/officeDocument/2006/relationships/hyperlink" Target="https://www.mdpi.com/1911-8074/12/2/53" TargetMode="External"/><Relationship Id="rId7" Type="http://schemas.openxmlformats.org/officeDocument/2006/relationships/hyperlink" Target="https://link.springer.com/content/pdf/10.1007/978-3-030-51093-0.pdf" TargetMode="External"/><Relationship Id="rId8" Type="http://schemas.openxmlformats.org/officeDocument/2006/relationships/hyperlink" Target="https://doi.org/10.2478/crebss-2020-0007" TargetMode="External"/><Relationship Id="rId73" Type="http://schemas.openxmlformats.org/officeDocument/2006/relationships/hyperlink" Target="https://www.researchgate.net/publication/362223415_Blockchain-based_business_process_management_BPM_for_finance_the_case_of_loan-application" TargetMode="External"/><Relationship Id="rId72" Type="http://schemas.openxmlformats.org/officeDocument/2006/relationships/hyperlink" Target="https://doi.org/10.1007/978-3-031-15743-1_11" TargetMode="External"/><Relationship Id="rId75" Type="http://schemas.openxmlformats.org/officeDocument/2006/relationships/hyperlink" Target="https://doi-org.ucd.idm.oclc.org/10.1016/j.ijforecast.2022.01.005" TargetMode="External"/><Relationship Id="rId74" Type="http://schemas.openxmlformats.org/officeDocument/2006/relationships/hyperlink" Target="https://doi.org/10.1007/s42521-022-00066-6" TargetMode="External"/><Relationship Id="rId77" Type="http://schemas.openxmlformats.org/officeDocument/2006/relationships/hyperlink" Target="https://doi-org.ucd.idm.oclc.org/10.1016/j.resourpol.2021.102319" TargetMode="External"/><Relationship Id="rId76" Type="http://schemas.openxmlformats.org/officeDocument/2006/relationships/hyperlink" Target="https://doi-org.ucd.idm.oclc.org/10.1016/j.jcomm.2021.100240" TargetMode="External"/><Relationship Id="rId79" Type="http://schemas.openxmlformats.org/officeDocument/2006/relationships/hyperlink" Target="https://doi.org/10.1016/j.ijforecast.2021.11.001" TargetMode="External"/><Relationship Id="rId78" Type="http://schemas.openxmlformats.org/officeDocument/2006/relationships/hyperlink" Target="https://doi.org/10.1016/j.ijforecast.2020.10.002" TargetMode="External"/><Relationship Id="rId71" Type="http://schemas.openxmlformats.org/officeDocument/2006/relationships/hyperlink" Target="https://doi.org/10.1080/1351847X.2021.1960403" TargetMode="External"/><Relationship Id="rId70" Type="http://schemas.openxmlformats.org/officeDocument/2006/relationships/hyperlink" Target="https://dx.doi.org/10.2139/ssrn.3699345" TargetMode="External"/><Relationship Id="rId132" Type="http://schemas.openxmlformats.org/officeDocument/2006/relationships/hyperlink" Target="https://www.suerf.org/docx/f_b3101eef45fdacc2076e2043d1b3c39f_43507_suerf.pdf" TargetMode="External"/><Relationship Id="rId131" Type="http://schemas.openxmlformats.org/officeDocument/2006/relationships/hyperlink" Target="https://doi.org/10.3905/jfds.2021.1.078" TargetMode="External"/><Relationship Id="rId130" Type="http://schemas.openxmlformats.org/officeDocument/2006/relationships/hyperlink" Target="https://doi.org/10.3905/jfds.2022.1.109" TargetMode="External"/><Relationship Id="rId136" Type="http://schemas.openxmlformats.org/officeDocument/2006/relationships/drawing" Target="../drawings/drawing6.xml"/><Relationship Id="rId135" Type="http://schemas.openxmlformats.org/officeDocument/2006/relationships/hyperlink" Target="https://dx.doi.org/10.2139/ssrn.4227111" TargetMode="External"/><Relationship Id="rId134" Type="http://schemas.openxmlformats.org/officeDocument/2006/relationships/hyperlink" Target="https://dx.doi.org/10.2139/ssrn.3890364" TargetMode="External"/><Relationship Id="rId133" Type="http://schemas.openxmlformats.org/officeDocument/2006/relationships/hyperlink" Target="https://doi.org/10.1111/corg.12454" TargetMode="External"/><Relationship Id="rId62" Type="http://schemas.openxmlformats.org/officeDocument/2006/relationships/hyperlink" Target="https://dx.doi.org/10.2139/ssrn.3912753" TargetMode="External"/><Relationship Id="rId61" Type="http://schemas.openxmlformats.org/officeDocument/2006/relationships/hyperlink" Target="https://doi.org/10.48550/arXiv.2108.11921" TargetMode="External"/><Relationship Id="rId64" Type="http://schemas.openxmlformats.org/officeDocument/2006/relationships/hyperlink" Target="https://doi.org/10.48550/arXiv.2103.08447" TargetMode="External"/><Relationship Id="rId63" Type="http://schemas.openxmlformats.org/officeDocument/2006/relationships/hyperlink" Target="https://dx.doi.org/10.2139/ssrn.4150849" TargetMode="External"/><Relationship Id="rId66" Type="http://schemas.openxmlformats.org/officeDocument/2006/relationships/hyperlink" Target="https://doi.org/10.1016/j.jcomm.2021.100189" TargetMode="External"/><Relationship Id="rId65" Type="http://schemas.openxmlformats.org/officeDocument/2006/relationships/hyperlink" Target="https://doi.org/10.1007/s42521-022-00064-8" TargetMode="External"/><Relationship Id="rId68" Type="http://schemas.openxmlformats.org/officeDocument/2006/relationships/hyperlink" Target="https://doi.org/10.48550/arXiv.2108.11915" TargetMode="External"/><Relationship Id="rId67" Type="http://schemas.openxmlformats.org/officeDocument/2006/relationships/hyperlink" Target="https://doi.org/10.48550/arXiv.2101.10189" TargetMode="External"/><Relationship Id="rId60" Type="http://schemas.openxmlformats.org/officeDocument/2006/relationships/hyperlink" Target="https://doi.org/10.48550/arXiv.2110.09429" TargetMode="External"/><Relationship Id="rId69" Type="http://schemas.openxmlformats.org/officeDocument/2006/relationships/hyperlink" Target="https://doi.org/10.1016/j.jmva.2021.104881" TargetMode="External"/><Relationship Id="rId51" Type="http://schemas.openxmlformats.org/officeDocument/2006/relationships/hyperlink" Target="https://dx.doi.org/10.2139/ssrn.3987941" TargetMode="External"/><Relationship Id="rId50" Type="http://schemas.openxmlformats.org/officeDocument/2006/relationships/hyperlink" Target="https://doi.org/10.1007/s10614-021-10113-w" TargetMode="External"/><Relationship Id="rId53" Type="http://schemas.openxmlformats.org/officeDocument/2006/relationships/hyperlink" Target="https://doi.org/10.1142/S0217590822480010" TargetMode="External"/><Relationship Id="rId52" Type="http://schemas.openxmlformats.org/officeDocument/2006/relationships/hyperlink" Target="https://dx.doi.org/10.2139/ssrn.4209433" TargetMode="External"/><Relationship Id="rId55" Type="http://schemas.openxmlformats.org/officeDocument/2006/relationships/hyperlink" Target="https://doi.org/10.1016/j.jmva.2021.104869" TargetMode="External"/><Relationship Id="rId54" Type="http://schemas.openxmlformats.org/officeDocument/2006/relationships/hyperlink" Target="https://doi.org/10.48550/arXiv.2108.05721" TargetMode="External"/><Relationship Id="rId57" Type="http://schemas.openxmlformats.org/officeDocument/2006/relationships/hyperlink" Target="https://doi.org/10.48550/arXiv.2204.02757" TargetMode="External"/><Relationship Id="rId56" Type="http://schemas.openxmlformats.org/officeDocument/2006/relationships/hyperlink" Target="https://dx.doi.org/10.2139/ssrn.4079006" TargetMode="External"/><Relationship Id="rId59" Type="http://schemas.openxmlformats.org/officeDocument/2006/relationships/hyperlink" Target="https://dx.doi.org/10.2139/ssrn.4150849" TargetMode="External"/><Relationship Id="rId58" Type="http://schemas.openxmlformats.org/officeDocument/2006/relationships/hyperlink" Target="https://doi.org/10.1007/s00181-021-02027-1"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dx.doi.org/10.2139/ssrn.3809329;" TargetMode="External"/><Relationship Id="rId42" Type="http://schemas.openxmlformats.org/officeDocument/2006/relationships/hyperlink" Target="https://dx.doi.org/10.2139/ssrn.3911490" TargetMode="External"/><Relationship Id="rId41" Type="http://schemas.openxmlformats.org/officeDocument/2006/relationships/hyperlink" Target="https://doi.org/10.48550/arXiv.2107.08808" TargetMode="External"/><Relationship Id="rId44" Type="http://schemas.openxmlformats.org/officeDocument/2006/relationships/hyperlink" Target="https://doi.org/10.1007/s10614-021-10113-w" TargetMode="External"/><Relationship Id="rId43" Type="http://schemas.openxmlformats.org/officeDocument/2006/relationships/hyperlink" Target="https://doi.org/10.1007/s42521-022-00048-8" TargetMode="External"/><Relationship Id="rId46" Type="http://schemas.openxmlformats.org/officeDocument/2006/relationships/hyperlink" Target="https://dx.doi.org/10.2139/ssrn.4209433" TargetMode="External"/><Relationship Id="rId45" Type="http://schemas.openxmlformats.org/officeDocument/2006/relationships/hyperlink" Target="https://dx.doi.org/10.2139/ssrn.3987941" TargetMode="External"/><Relationship Id="rId107" Type="http://schemas.openxmlformats.org/officeDocument/2006/relationships/hyperlink" Target="https://doi.org/10.1007/s42521-022-00063-9" TargetMode="External"/><Relationship Id="rId106" Type="http://schemas.openxmlformats.org/officeDocument/2006/relationships/hyperlink" Target="https://doi.org/10.1186/s40854-021-00310-9" TargetMode="External"/><Relationship Id="rId105" Type="http://schemas.openxmlformats.org/officeDocument/2006/relationships/hyperlink" Target="https://doi.org/10.1016/j.elerap.2021.101079" TargetMode="External"/><Relationship Id="rId104" Type="http://schemas.openxmlformats.org/officeDocument/2006/relationships/hyperlink" Target="https://doi.org/10.1016/j.ipm.2021.102848" TargetMode="External"/><Relationship Id="rId109" Type="http://schemas.openxmlformats.org/officeDocument/2006/relationships/hyperlink" Target="https://doi.org/10.3389/frai.2021.668465" TargetMode="External"/><Relationship Id="rId108" Type="http://schemas.openxmlformats.org/officeDocument/2006/relationships/hyperlink" Target="https://doi.org/10.2139/ssrn.3796351" TargetMode="External"/><Relationship Id="rId48" Type="http://schemas.openxmlformats.org/officeDocument/2006/relationships/hyperlink" Target="https://doi.org/10.48550/arXiv.2108.05721" TargetMode="External"/><Relationship Id="rId47" Type="http://schemas.openxmlformats.org/officeDocument/2006/relationships/hyperlink" Target="https://doi.org/10.1142/S0217590822480010" TargetMode="External"/><Relationship Id="rId49" Type="http://schemas.openxmlformats.org/officeDocument/2006/relationships/hyperlink" Target="https://doi.org/10.1016/j.jmva.2021.104869" TargetMode="External"/><Relationship Id="rId103" Type="http://schemas.openxmlformats.org/officeDocument/2006/relationships/hyperlink" Target="https://doi.org/10.1016/j.ipm.2021.102848" TargetMode="External"/><Relationship Id="rId102" Type="http://schemas.openxmlformats.org/officeDocument/2006/relationships/hyperlink" Target="https://doi.org/10.15308/finiz-2020-97-102" TargetMode="External"/><Relationship Id="rId101" Type="http://schemas.openxmlformats.org/officeDocument/2006/relationships/hyperlink" Target="https://doi.org/10.1007/s10198-022-01506-1" TargetMode="External"/><Relationship Id="rId100" Type="http://schemas.openxmlformats.org/officeDocument/2006/relationships/hyperlink" Target="mailto:codruta.mare@econ.ubbcluj.ro" TargetMode="External"/><Relationship Id="rId31" Type="http://schemas.openxmlformats.org/officeDocument/2006/relationships/hyperlink" Target="https://doi.org/10.1016/j.jedc.2021.104290" TargetMode="External"/><Relationship Id="rId30" Type="http://schemas.openxmlformats.org/officeDocument/2006/relationships/hyperlink" Target="https://doi.org/10.1111/rssc.12499" TargetMode="External"/><Relationship Id="rId33" Type="http://schemas.openxmlformats.org/officeDocument/2006/relationships/hyperlink" Target="https://dx.doi.org/10.2139/ssrn.3724814" TargetMode="External"/><Relationship Id="rId32" Type="http://schemas.openxmlformats.org/officeDocument/2006/relationships/hyperlink" Target="https://doi.org/10.1016/j.irfa.2021.101915" TargetMode="External"/><Relationship Id="rId35" Type="http://schemas.openxmlformats.org/officeDocument/2006/relationships/hyperlink" Target="https://doi.org/10.1007/s42521-021-00043-5" TargetMode="External"/><Relationship Id="rId34" Type="http://schemas.openxmlformats.org/officeDocument/2006/relationships/hyperlink" Target="https://doi.org/10.1007/s42521-021-00031-9" TargetMode="External"/><Relationship Id="rId37" Type="http://schemas.openxmlformats.org/officeDocument/2006/relationships/hyperlink" Target="https://doi.org/10.1007/978-3-030-73443-5_94-1" TargetMode="External"/><Relationship Id="rId36" Type="http://schemas.openxmlformats.org/officeDocument/2006/relationships/hyperlink" Target="https://doi.org/10.1007/s43546-021-00057-6" TargetMode="External"/><Relationship Id="rId39" Type="http://schemas.openxmlformats.org/officeDocument/2006/relationships/hyperlink" Target="https://doi.org/10.1016/j.ribaf.2021.101594" TargetMode="External"/><Relationship Id="rId38" Type="http://schemas.openxmlformats.org/officeDocument/2006/relationships/hyperlink" Target="https://doi.org/10.48550/arXiv.2208.12614" TargetMode="External"/><Relationship Id="rId20" Type="http://schemas.openxmlformats.org/officeDocument/2006/relationships/hyperlink" Target="https://doi.org/10.1016/j.irfa.2021.101958" TargetMode="External"/><Relationship Id="rId22" Type="http://schemas.openxmlformats.org/officeDocument/2006/relationships/hyperlink" Target="https://doi.org/10.1080/00036846.2020.1854671" TargetMode="External"/><Relationship Id="rId21" Type="http://schemas.openxmlformats.org/officeDocument/2006/relationships/hyperlink" Target="https://doi.org/10.1080/1351847X.2020.1869992" TargetMode="External"/><Relationship Id="rId24" Type="http://schemas.openxmlformats.org/officeDocument/2006/relationships/hyperlink" Target="https://doi.org/10.1016/j.qref.2020.02.004" TargetMode="External"/><Relationship Id="rId23" Type="http://schemas.openxmlformats.org/officeDocument/2006/relationships/hyperlink" Target="https://doi.org/10.1016/j.frl.2019.101405" TargetMode="External"/><Relationship Id="rId129" Type="http://schemas.openxmlformats.org/officeDocument/2006/relationships/hyperlink" Target="https://doi.org/10.11118/actaun201866051337" TargetMode="External"/><Relationship Id="rId128" Type="http://schemas.openxmlformats.org/officeDocument/2006/relationships/hyperlink" Target="https://doi.org/10.18045/zbefri.2020.2.429" TargetMode="External"/><Relationship Id="rId127" Type="http://schemas.openxmlformats.org/officeDocument/2006/relationships/hyperlink" Target="https://doi.org/10.47743/ejes-2021-0103" TargetMode="External"/><Relationship Id="rId126" Type="http://schemas.openxmlformats.org/officeDocument/2006/relationships/hyperlink" Target="https://doi.org/10.7441/dokbat.2021.42" TargetMode="External"/><Relationship Id="rId26" Type="http://schemas.openxmlformats.org/officeDocument/2006/relationships/hyperlink" Target="https://doi.org/10.1016/j.frl.2021.102162" TargetMode="External"/><Relationship Id="rId121" Type="http://schemas.openxmlformats.org/officeDocument/2006/relationships/hyperlink" Target="https://doi.org/10.3905/jfds.2021.1.078" TargetMode="External"/><Relationship Id="rId25" Type="http://schemas.openxmlformats.org/officeDocument/2006/relationships/hyperlink" Target="https://www.jstor.org/stable/48618930" TargetMode="External"/><Relationship Id="rId120" Type="http://schemas.openxmlformats.org/officeDocument/2006/relationships/hyperlink" Target="https://doi.org/10.3905/jfds.2022.1.109" TargetMode="External"/><Relationship Id="rId28" Type="http://schemas.openxmlformats.org/officeDocument/2006/relationships/hyperlink" Target="https://doi.org/10.1080/14697688.2021.1880023" TargetMode="External"/><Relationship Id="rId27" Type="http://schemas.openxmlformats.org/officeDocument/2006/relationships/hyperlink" Target="https://doi.org/10.1214/20-AOS2019" TargetMode="External"/><Relationship Id="rId125" Type="http://schemas.openxmlformats.org/officeDocument/2006/relationships/hyperlink" Target="https://dx.doi.org/10.2139/ssrn.4227111" TargetMode="External"/><Relationship Id="rId29" Type="http://schemas.openxmlformats.org/officeDocument/2006/relationships/hyperlink" Target="https://doi.org/10.1016/j.jspi.2020.10.007" TargetMode="External"/><Relationship Id="rId124" Type="http://schemas.openxmlformats.org/officeDocument/2006/relationships/hyperlink" Target="https://dx.doi.org/10.2139/ssrn.3890364" TargetMode="External"/><Relationship Id="rId123" Type="http://schemas.openxmlformats.org/officeDocument/2006/relationships/hyperlink" Target="https://doi.org/10.1111/corg.12454" TargetMode="External"/><Relationship Id="rId122" Type="http://schemas.openxmlformats.org/officeDocument/2006/relationships/hyperlink" Target="https://www.suerf.org/docx/f_b3101eef45fdacc2076e2043d1b3c39f_43507_suerf.pdf" TargetMode="External"/><Relationship Id="rId95" Type="http://schemas.openxmlformats.org/officeDocument/2006/relationships/hyperlink" Target="mailto:codruta.mare@econ.ubbcluj.ro" TargetMode="External"/><Relationship Id="rId94" Type="http://schemas.openxmlformats.org/officeDocument/2006/relationships/hyperlink" Target="https://doi.org/10.3390/risks9060116" TargetMode="External"/><Relationship Id="rId97" Type="http://schemas.openxmlformats.org/officeDocument/2006/relationships/hyperlink" Target="mailto:codruta.mare@econ.ubbcluj.ro" TargetMode="External"/><Relationship Id="rId96" Type="http://schemas.openxmlformats.org/officeDocument/2006/relationships/hyperlink" Target="https://doi.org/10.3390/risks9060104" TargetMode="External"/><Relationship Id="rId11" Type="http://schemas.openxmlformats.org/officeDocument/2006/relationships/hyperlink" Target="http://doi.org/10.1016/j.eswa.2021.115245" TargetMode="External"/><Relationship Id="rId99" Type="http://schemas.openxmlformats.org/officeDocument/2006/relationships/hyperlink" Target="https://doi.org/10.1007/s10198-022-01506-1" TargetMode="External"/><Relationship Id="rId10" Type="http://schemas.openxmlformats.org/officeDocument/2006/relationships/hyperlink" Target="http://doi.org/10.1016/j.omega.2021.102543" TargetMode="External"/><Relationship Id="rId98" Type="http://schemas.openxmlformats.org/officeDocument/2006/relationships/hyperlink" Target="mailto:codruta.mare@econ.ubbcluj.ro" TargetMode="External"/><Relationship Id="rId13" Type="http://schemas.openxmlformats.org/officeDocument/2006/relationships/hyperlink" Target="http://doi.org/10.1016/j.cor.2021.105281" TargetMode="External"/><Relationship Id="rId12" Type="http://schemas.openxmlformats.org/officeDocument/2006/relationships/hyperlink" Target="http://doi.org/10.1016/j.ejor.2021.04.016" TargetMode="External"/><Relationship Id="rId91" Type="http://schemas.openxmlformats.org/officeDocument/2006/relationships/hyperlink" Target="https://doi.org/10.1007/978-3-031-16474-3_40" TargetMode="External"/><Relationship Id="rId90" Type="http://schemas.openxmlformats.org/officeDocument/2006/relationships/hyperlink" Target="https://doi.org/10.3389/frai.2021.718450" TargetMode="External"/><Relationship Id="rId93" Type="http://schemas.openxmlformats.org/officeDocument/2006/relationships/hyperlink" Target="https://doi.org/10.1080/1351847X.2021.1960403" TargetMode="External"/><Relationship Id="rId92" Type="http://schemas.openxmlformats.org/officeDocument/2006/relationships/hyperlink" Target="https://doi.org/10.1007/978-981-16-2765-1_6" TargetMode="External"/><Relationship Id="rId118" Type="http://schemas.openxmlformats.org/officeDocument/2006/relationships/hyperlink" Target="https://doi.org/10.2139/ssrn.4087569" TargetMode="External"/><Relationship Id="rId117" Type="http://schemas.openxmlformats.org/officeDocument/2006/relationships/hyperlink" Target="https://doi.org/10.2139/ssrn.3858730" TargetMode="External"/><Relationship Id="rId116" Type="http://schemas.openxmlformats.org/officeDocument/2006/relationships/hyperlink" Target="https://doi.org/10.1007/s42521-022-00063-9" TargetMode="External"/><Relationship Id="rId115" Type="http://schemas.openxmlformats.org/officeDocument/2006/relationships/hyperlink" Target="https://doi.org/10.3389/frai.2021.794996" TargetMode="External"/><Relationship Id="rId119" Type="http://schemas.openxmlformats.org/officeDocument/2006/relationships/hyperlink" Target="https://doi.org/10.2139/ssrn.4087569" TargetMode="External"/><Relationship Id="rId15" Type="http://schemas.openxmlformats.org/officeDocument/2006/relationships/hyperlink" Target="http://doi.org/10.1080/00273171.2019.1677208" TargetMode="External"/><Relationship Id="rId110" Type="http://schemas.openxmlformats.org/officeDocument/2006/relationships/hyperlink" Target="https://doi.org/10.2139/ssrn.3865019" TargetMode="External"/><Relationship Id="rId14" Type="http://schemas.openxmlformats.org/officeDocument/2006/relationships/hyperlink" Target="http://doi.org/10.1007/s11750-021-00594-1" TargetMode="External"/><Relationship Id="rId17" Type="http://schemas.openxmlformats.org/officeDocument/2006/relationships/hyperlink" Target="http://doi.org/10.1016/j.ejor.2019.12.002" TargetMode="External"/><Relationship Id="rId16" Type="http://schemas.openxmlformats.org/officeDocument/2006/relationships/hyperlink" Target="http://doi.org/10.1016/j.omega.2019.05.004" TargetMode="External"/><Relationship Id="rId19" Type="http://schemas.openxmlformats.org/officeDocument/2006/relationships/hyperlink" Target="https://doi.org/10.1016/j.intfin.2021.101321" TargetMode="External"/><Relationship Id="rId114" Type="http://schemas.openxmlformats.org/officeDocument/2006/relationships/hyperlink" Target="https://doi.org/10.2139/ssrn.3898792" TargetMode="External"/><Relationship Id="rId18" Type="http://schemas.openxmlformats.org/officeDocument/2006/relationships/hyperlink" Target="https://doi.org/10.1007/978-981-16-2418-6" TargetMode="External"/><Relationship Id="rId113" Type="http://schemas.openxmlformats.org/officeDocument/2006/relationships/hyperlink" Target="https://doi.org/10.2139/ssrn.3864867" TargetMode="External"/><Relationship Id="rId112" Type="http://schemas.openxmlformats.org/officeDocument/2006/relationships/hyperlink" Target="https://doi.org/10.2139/ssrn.3864965" TargetMode="External"/><Relationship Id="rId111" Type="http://schemas.openxmlformats.org/officeDocument/2006/relationships/hyperlink" Target="https://doi.org/10.2139/ssrn.3867800" TargetMode="External"/><Relationship Id="rId84" Type="http://schemas.openxmlformats.org/officeDocument/2006/relationships/hyperlink" Target="https://doi.org/10.1007/s42521-022-00062-w" TargetMode="External"/><Relationship Id="rId83" Type="http://schemas.openxmlformats.org/officeDocument/2006/relationships/hyperlink" Target="https://doi.org/10.1016/j.eswa.2020.114104" TargetMode="External"/><Relationship Id="rId86" Type="http://schemas.openxmlformats.org/officeDocument/2006/relationships/hyperlink" Target="https://doi.org/10.1016/j.apenergy.2022.119182" TargetMode="External"/><Relationship Id="rId85" Type="http://schemas.openxmlformats.org/officeDocument/2006/relationships/hyperlink" Target="https://doi.org/10.1007/s42521-022-00065-7" TargetMode="External"/><Relationship Id="rId88" Type="http://schemas.openxmlformats.org/officeDocument/2006/relationships/hyperlink" Target="https://doi.org/10.1504/IJCEE.2021.10043332" TargetMode="External"/><Relationship Id="rId87" Type="http://schemas.openxmlformats.org/officeDocument/2006/relationships/hyperlink" Target="https://doi.org/10.3390/en15103839" TargetMode="External"/><Relationship Id="rId89" Type="http://schemas.openxmlformats.org/officeDocument/2006/relationships/hyperlink" Target="https://doi.org/10.1007/978-3-030-56219-9_9" TargetMode="External"/><Relationship Id="rId80" Type="http://schemas.openxmlformats.org/officeDocument/2006/relationships/hyperlink" Target="https://doi.org/10.1007/s42521-022-00055-9" TargetMode="External"/><Relationship Id="rId82" Type="http://schemas.openxmlformats.org/officeDocument/2006/relationships/hyperlink" Target="https://doi.org/10.1016/j.frl.2022.102941" TargetMode="External"/><Relationship Id="rId81" Type="http://schemas.openxmlformats.org/officeDocument/2006/relationships/hyperlink" Target="https://doi.org/10.1016/j.eswa.2021.116261" TargetMode="External"/><Relationship Id="rId1" Type="http://schemas.openxmlformats.org/officeDocument/2006/relationships/hyperlink" Target="http://dx.doi.org/10.13189/ujaf.2020.080402" TargetMode="External"/><Relationship Id="rId2" Type="http://schemas.openxmlformats.org/officeDocument/2006/relationships/hyperlink" Target="mailto:llesh.lleshaj@unitir.edu.al" TargetMode="External"/><Relationship Id="rId3" Type="http://schemas.openxmlformats.org/officeDocument/2006/relationships/hyperlink" Target="http://dx.doi.org/10.37394/23207.2021.18.102" TargetMode="External"/><Relationship Id="rId4" Type="http://schemas.openxmlformats.org/officeDocument/2006/relationships/hyperlink" Target="https://doi.org/10.2478/crebss-2020-0007" TargetMode="External"/><Relationship Id="rId9" Type="http://schemas.openxmlformats.org/officeDocument/2006/relationships/hyperlink" Target="http://doi.org/10.1016/j.ejor.2021.12.022" TargetMode="External"/><Relationship Id="rId5" Type="http://schemas.openxmlformats.org/officeDocument/2006/relationships/hyperlink" Target="https://doi.org/10.4324/9781003144410-8" TargetMode="External"/><Relationship Id="rId6" Type="http://schemas.openxmlformats.org/officeDocument/2006/relationships/hyperlink" Target="https://doi.org/10.4018/978-1-7998-5083-0.ch010" TargetMode="External"/><Relationship Id="rId7" Type="http://schemas.openxmlformats.org/officeDocument/2006/relationships/hyperlink" Target="http://doi.org/10.1007/s11634-022-00508-4" TargetMode="External"/><Relationship Id="rId8" Type="http://schemas.openxmlformats.org/officeDocument/2006/relationships/hyperlink" Target="http://doi.org/10.1016/j.eswa.2022.117423" TargetMode="External"/><Relationship Id="rId73" Type="http://schemas.openxmlformats.org/officeDocument/2006/relationships/hyperlink" Target="https://doi.org/10.1016/j.ijforecast.2021.11.001" TargetMode="External"/><Relationship Id="rId72" Type="http://schemas.openxmlformats.org/officeDocument/2006/relationships/hyperlink" Target="https://doi.org/10.1016/j.ijforecast.2020.10.002" TargetMode="External"/><Relationship Id="rId75" Type="http://schemas.openxmlformats.org/officeDocument/2006/relationships/hyperlink" Target="https://doi.org/10.1007/s10551-021-04842-z" TargetMode="External"/><Relationship Id="rId74" Type="http://schemas.openxmlformats.org/officeDocument/2006/relationships/hyperlink" Target="https://doi.org/10.3390/forecast3030030" TargetMode="External"/><Relationship Id="rId77" Type="http://schemas.openxmlformats.org/officeDocument/2006/relationships/hyperlink" Target="https://doi.org/10.1007/s42521-021-00045-3" TargetMode="External"/><Relationship Id="rId76" Type="http://schemas.openxmlformats.org/officeDocument/2006/relationships/hyperlink" Target="https://doi.org/10.1016/j.econlet.2022.110734" TargetMode="External"/><Relationship Id="rId79" Type="http://schemas.openxmlformats.org/officeDocument/2006/relationships/hyperlink" Target="https://dx.doi.org/10.2139/ssrn.4173890" TargetMode="External"/><Relationship Id="rId78" Type="http://schemas.openxmlformats.org/officeDocument/2006/relationships/hyperlink" Target="https://doi.org/10.1007/s42521-022-00060-y" TargetMode="External"/><Relationship Id="rId71" Type="http://schemas.openxmlformats.org/officeDocument/2006/relationships/hyperlink" Target="https://doi-org.ucd.idm.oclc.org/10.1016/j.resourpol.2021.102319" TargetMode="External"/><Relationship Id="rId70" Type="http://schemas.openxmlformats.org/officeDocument/2006/relationships/hyperlink" Target="https://doi-org.ucd.idm.oclc.org/10.1016/j.jcomm.2021.100240" TargetMode="External"/><Relationship Id="rId132" Type="http://schemas.openxmlformats.org/officeDocument/2006/relationships/hyperlink" Target="https://sites.google.com/net.efzg.hr/tinfinconference/programme/book-of-abstracts" TargetMode="External"/><Relationship Id="rId131" Type="http://schemas.openxmlformats.org/officeDocument/2006/relationships/hyperlink" Target="https://doi.org/10.31577/ekoncas.2021.01.01" TargetMode="External"/><Relationship Id="rId130" Type="http://schemas.openxmlformats.org/officeDocument/2006/relationships/hyperlink" Target="https://doi.org/10.31577/ekoncas.2022.05.02" TargetMode="External"/><Relationship Id="rId133" Type="http://schemas.openxmlformats.org/officeDocument/2006/relationships/drawing" Target="../drawings/drawing7.xml"/><Relationship Id="rId62" Type="http://schemas.openxmlformats.org/officeDocument/2006/relationships/hyperlink" Target="https://doi.org/10.48550/arXiv.2108.11915" TargetMode="External"/><Relationship Id="rId61" Type="http://schemas.openxmlformats.org/officeDocument/2006/relationships/hyperlink" Target="https://doi.org/10.48550/arXiv.2101.10189" TargetMode="External"/><Relationship Id="rId64" Type="http://schemas.openxmlformats.org/officeDocument/2006/relationships/hyperlink" Target="https://dx.doi.org/10.2139/ssrn.3699345" TargetMode="External"/><Relationship Id="rId63" Type="http://schemas.openxmlformats.org/officeDocument/2006/relationships/hyperlink" Target="https://doi.org/10.1016/j.jmva.2021.104881" TargetMode="External"/><Relationship Id="rId66" Type="http://schemas.openxmlformats.org/officeDocument/2006/relationships/hyperlink" Target="https://doi.org/10.1007/978-3-031-15743-1_11" TargetMode="External"/><Relationship Id="rId65" Type="http://schemas.openxmlformats.org/officeDocument/2006/relationships/hyperlink" Target="https://doi.org/10.1080/1351847X.2021.1960403" TargetMode="External"/><Relationship Id="rId68" Type="http://schemas.openxmlformats.org/officeDocument/2006/relationships/hyperlink" Target="https://doi.org/10.1007/s42521-022-00066-6" TargetMode="External"/><Relationship Id="rId67" Type="http://schemas.openxmlformats.org/officeDocument/2006/relationships/hyperlink" Target="https://www.researchgate.net/publication/362223415_Blockchain-based_business_process_management_BPM_for_finance_the_case_of_loan-application" TargetMode="External"/><Relationship Id="rId60" Type="http://schemas.openxmlformats.org/officeDocument/2006/relationships/hyperlink" Target="https://doi.org/10.1016/j.jcomm.2021.100189" TargetMode="External"/><Relationship Id="rId69" Type="http://schemas.openxmlformats.org/officeDocument/2006/relationships/hyperlink" Target="https://doi-org.ucd.idm.oclc.org/10.1016/j.ijforecast.2022.01.005" TargetMode="External"/><Relationship Id="rId51" Type="http://schemas.openxmlformats.org/officeDocument/2006/relationships/hyperlink" Target="https://doi.org/10.48550/arXiv.2204.02757" TargetMode="External"/><Relationship Id="rId50" Type="http://schemas.openxmlformats.org/officeDocument/2006/relationships/hyperlink" Target="https://dx.doi.org/10.2139/ssrn.4079006" TargetMode="External"/><Relationship Id="rId53" Type="http://schemas.openxmlformats.org/officeDocument/2006/relationships/hyperlink" Target="https://dx.doi.org/10.2139/ssrn.4150849" TargetMode="External"/><Relationship Id="rId52" Type="http://schemas.openxmlformats.org/officeDocument/2006/relationships/hyperlink" Target="https://doi.org/10.1007/s00181-021-02027-1" TargetMode="External"/><Relationship Id="rId55" Type="http://schemas.openxmlformats.org/officeDocument/2006/relationships/hyperlink" Target="https://doi.org/10.48550/arXiv.2108.11921" TargetMode="External"/><Relationship Id="rId54" Type="http://schemas.openxmlformats.org/officeDocument/2006/relationships/hyperlink" Target="https://doi.org/10.48550/arXiv.2110.09429" TargetMode="External"/><Relationship Id="rId57" Type="http://schemas.openxmlformats.org/officeDocument/2006/relationships/hyperlink" Target="https://dx.doi.org/10.2139/ssrn.4150849" TargetMode="External"/><Relationship Id="rId56" Type="http://schemas.openxmlformats.org/officeDocument/2006/relationships/hyperlink" Target="https://dx.doi.org/10.2139/ssrn.3912753" TargetMode="External"/><Relationship Id="rId59" Type="http://schemas.openxmlformats.org/officeDocument/2006/relationships/hyperlink" Target="https://doi.org/10.1007/s42521-022-00064-8" TargetMode="External"/><Relationship Id="rId58" Type="http://schemas.openxmlformats.org/officeDocument/2006/relationships/hyperlink" Target="https://doi.org/10.48550/arXiv.2103.08447" TargetMode="Externa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eic.ec.europa.eu/news/ufo-emerging-industries-new-value-chains-boosted-small-flying-objects-2022-02-22_en" TargetMode="External"/><Relationship Id="rId5" Type="http://schemas.openxmlformats.org/officeDocument/2006/relationships/drawing" Target="../drawings/drawing8.xml"/><Relationship Id="rId6"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1" Type="http://schemas.openxmlformats.org/officeDocument/2006/relationships/hyperlink" Target="mailto:belma.ozturkal@khas.edu.tr" TargetMode="External"/><Relationship Id="rId30" Type="http://schemas.openxmlformats.org/officeDocument/2006/relationships/hyperlink" Target="mailto:scwp@zhaw.ch" TargetMode="External"/><Relationship Id="rId33" Type="http://schemas.openxmlformats.org/officeDocument/2006/relationships/hyperlink" Target="mailto:alessandra.tanda@unipv.it" TargetMode="External"/><Relationship Id="rId32" Type="http://schemas.openxmlformats.org/officeDocument/2006/relationships/hyperlink" Target="mailto:sam.goundar@gmail.com" TargetMode="External"/><Relationship Id="rId35" Type="http://schemas.openxmlformats.org/officeDocument/2006/relationships/drawing" Target="../drawings/drawing9.xml"/><Relationship Id="rId34" Type="http://schemas.openxmlformats.org/officeDocument/2006/relationships/hyperlink" Target="about:blank" TargetMode="External"/><Relationship Id="rId20" Type="http://schemas.openxmlformats.org/officeDocument/2006/relationships/hyperlink" Target="about:blank" TargetMode="External"/><Relationship Id="rId22" Type="http://schemas.openxmlformats.org/officeDocument/2006/relationships/hyperlink" Target="mailto:per.b.solibakke@ntnu.no" TargetMode="External"/><Relationship Id="rId21" Type="http://schemas.openxmlformats.org/officeDocument/2006/relationships/hyperlink" Target="about:blank" TargetMode="External"/><Relationship Id="rId24" Type="http://schemas.openxmlformats.org/officeDocument/2006/relationships/hyperlink" Target="about:blank" TargetMode="External"/><Relationship Id="rId23" Type="http://schemas.openxmlformats.org/officeDocument/2006/relationships/hyperlink" Target="about:blank" TargetMode="External"/><Relationship Id="rId26" Type="http://schemas.openxmlformats.org/officeDocument/2006/relationships/hyperlink" Target="about:blank" TargetMode="External"/><Relationship Id="rId25" Type="http://schemas.openxmlformats.org/officeDocument/2006/relationships/hyperlink" Target="about:blank" TargetMode="External"/><Relationship Id="rId28" Type="http://schemas.openxmlformats.org/officeDocument/2006/relationships/hyperlink" Target="about:blank" TargetMode="External"/><Relationship Id="rId27" Type="http://schemas.openxmlformats.org/officeDocument/2006/relationships/hyperlink" Target="about:blank" TargetMode="External"/><Relationship Id="rId29" Type="http://schemas.openxmlformats.org/officeDocument/2006/relationships/hyperlink" Target="about:blank" TargetMode="External"/><Relationship Id="rId11" Type="http://schemas.openxmlformats.org/officeDocument/2006/relationships/hyperlink" Target="mailto:alla.petukhina@htw-berlin.de" TargetMode="External"/><Relationship Id="rId10" Type="http://schemas.openxmlformats.org/officeDocument/2006/relationships/hyperlink" Target="mailto:innar.liiv@taltech.ee" TargetMode="External"/><Relationship Id="rId13" Type="http://schemas.openxmlformats.org/officeDocument/2006/relationships/hyperlink" Target="mailto:tuan.trinh@eitdigital.eu" TargetMode="External"/><Relationship Id="rId12" Type="http://schemas.openxmlformats.org/officeDocument/2006/relationships/hyperlink" Target="mailto:veniarakelian@yahoo.com" TargetMode="External"/><Relationship Id="rId15" Type="http://schemas.openxmlformats.org/officeDocument/2006/relationships/hyperlink" Target="about:blank" TargetMode="External"/><Relationship Id="rId14" Type="http://schemas.openxmlformats.org/officeDocument/2006/relationships/hyperlink" Target="mailto:hks7@hs.is" TargetMode="External"/><Relationship Id="rId17" Type="http://schemas.openxmlformats.org/officeDocument/2006/relationships/hyperlink" Target="about:blank" TargetMode="External"/><Relationship Id="rId16" Type="http://schemas.openxmlformats.org/officeDocument/2006/relationships/hyperlink" Target="about:blank" TargetMode="External"/><Relationship Id="rId19" Type="http://schemas.openxmlformats.org/officeDocument/2006/relationships/hyperlink" Target="about:blank" TargetMode="External"/><Relationship Id="rId18" Type="http://schemas.openxmlformats.org/officeDocument/2006/relationships/hyperlink" Target="about:blank" TargetMode="External"/><Relationship Id="rId1" Type="http://schemas.openxmlformats.org/officeDocument/2006/relationships/hyperlink" Target="mailto:rezartaperri@feut.edu.al" TargetMode="External"/><Relationship Id="rId2" Type="http://schemas.openxmlformats.org/officeDocument/2006/relationships/hyperlink" Target="mailto:ronald.hochreiter@wu.ac.at" TargetMode="External"/><Relationship Id="rId3" Type="http://schemas.openxmlformats.org/officeDocument/2006/relationships/hyperlink" Target="mailto:christian.hafner@uclouvain.be" TargetMode="External"/><Relationship Id="rId4" Type="http://schemas.openxmlformats.org/officeDocument/2006/relationships/hyperlink" Target="mailto:jelena.poljasevic@ef.unibl.org" TargetMode="External"/><Relationship Id="rId9" Type="http://schemas.openxmlformats.org/officeDocument/2006/relationships/hyperlink" Target="mailto:drm.eco@cbs.dk" TargetMode="External"/><Relationship Id="rId5" Type="http://schemas.openxmlformats.org/officeDocument/2006/relationships/hyperlink" Target="mailto:ygorbounov@nbu.bg" TargetMode="External"/><Relationship Id="rId6" Type="http://schemas.openxmlformats.org/officeDocument/2006/relationships/hyperlink" Target="mailto:aivanisev@net.efzg.hr" TargetMode="External"/><Relationship Id="rId7" Type="http://schemas.openxmlformats.org/officeDocument/2006/relationships/hyperlink" Target="mailto:andreas.gregoriades@cut.ac.cy" TargetMode="External"/><Relationship Id="rId8" Type="http://schemas.openxmlformats.org/officeDocument/2006/relationships/hyperlink" Target="mailto:oleg@muni.cz"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27.63"/>
    <col customWidth="1" min="3" max="3" width="24.13"/>
    <col customWidth="1" min="4" max="4" width="1089.38"/>
    <col customWidth="1" min="5" max="5" width="1495.38"/>
    <col customWidth="1" min="6" max="6" width="71.25"/>
    <col customWidth="1" min="7" max="7" width="97.13"/>
    <col customWidth="1" min="8" max="8" width="101.5"/>
    <col customWidth="1" min="9" max="9" width="42.25"/>
    <col customWidth="1" min="10" max="10" width="230.5"/>
    <col customWidth="1" min="11" max="11" width="137.38"/>
    <col customWidth="1" min="12" max="12" width="109.63"/>
    <col customWidth="1" min="13" max="13" width="5.38"/>
    <col customWidth="1" min="14" max="14" width="30.25"/>
    <col customWidth="1" min="15" max="15" width="362.13"/>
    <col customWidth="1" min="16" max="16" width="35.0"/>
    <col customWidth="1" min="17" max="24" width="18.88"/>
  </cols>
  <sheetData>
    <row r="1">
      <c r="A1" s="1" t="s">
        <v>0</v>
      </c>
      <c r="B1" s="1" t="s">
        <v>1</v>
      </c>
      <c r="C1" s="2" t="s">
        <v>2</v>
      </c>
      <c r="D1" s="2" t="s">
        <v>3</v>
      </c>
      <c r="E1" s="2" t="s">
        <v>4</v>
      </c>
      <c r="F1" s="2" t="s">
        <v>5</v>
      </c>
      <c r="G1" s="2" t="s">
        <v>6</v>
      </c>
      <c r="H1" s="2" t="s">
        <v>7</v>
      </c>
      <c r="I1" s="2" t="s">
        <v>8</v>
      </c>
      <c r="J1" s="1" t="s">
        <v>9</v>
      </c>
      <c r="K1" s="1" t="s">
        <v>10</v>
      </c>
      <c r="L1" s="1" t="s">
        <v>11</v>
      </c>
      <c r="M1" s="2" t="s">
        <v>12</v>
      </c>
      <c r="N1" s="2" t="s">
        <v>13</v>
      </c>
      <c r="O1" s="2" t="s">
        <v>14</v>
      </c>
      <c r="P1" s="2" t="s">
        <v>15</v>
      </c>
      <c r="Q1" s="2" t="s">
        <v>16</v>
      </c>
      <c r="R1" s="2" t="s">
        <v>16</v>
      </c>
    </row>
    <row r="2">
      <c r="A2" s="3">
        <v>44752.810493275465</v>
      </c>
      <c r="B2" s="2" t="s">
        <v>17</v>
      </c>
      <c r="C2" s="2" t="s">
        <v>18</v>
      </c>
      <c r="D2" s="2" t="s">
        <v>19</v>
      </c>
      <c r="E2" s="2" t="s">
        <v>20</v>
      </c>
      <c r="F2" s="2" t="s">
        <v>21</v>
      </c>
      <c r="H2" s="2" t="s">
        <v>21</v>
      </c>
      <c r="J2" s="2" t="s">
        <v>21</v>
      </c>
      <c r="K2" s="2" t="s">
        <v>22</v>
      </c>
      <c r="L2" s="2" t="s">
        <v>21</v>
      </c>
      <c r="M2" s="4">
        <v>0.0</v>
      </c>
      <c r="N2" s="2" t="s">
        <v>23</v>
      </c>
      <c r="P2" s="2" t="s">
        <v>21</v>
      </c>
      <c r="Q2" s="5"/>
      <c r="R2" s="5"/>
    </row>
    <row r="3">
      <c r="A3" s="3">
        <v>44756.97636635417</v>
      </c>
      <c r="B3" s="2" t="s">
        <v>24</v>
      </c>
      <c r="C3" s="2" t="s">
        <v>18</v>
      </c>
      <c r="D3" s="2" t="s">
        <v>21</v>
      </c>
      <c r="E3" s="2" t="s">
        <v>25</v>
      </c>
      <c r="F3" s="2" t="s">
        <v>21</v>
      </c>
      <c r="H3" s="2" t="s">
        <v>21</v>
      </c>
      <c r="J3" s="2" t="s">
        <v>21</v>
      </c>
      <c r="K3" s="2" t="s">
        <v>21</v>
      </c>
      <c r="L3" s="2" t="s">
        <v>22</v>
      </c>
      <c r="M3" s="4">
        <v>0.0</v>
      </c>
      <c r="N3" s="2" t="s">
        <v>26</v>
      </c>
      <c r="P3" s="2" t="s">
        <v>21</v>
      </c>
      <c r="Q3" s="5"/>
      <c r="R3" s="5"/>
    </row>
    <row r="4">
      <c r="A4" s="3">
        <v>44772.58926746528</v>
      </c>
      <c r="B4" s="2" t="s">
        <v>27</v>
      </c>
      <c r="C4" s="2" t="s">
        <v>28</v>
      </c>
      <c r="D4" s="2" t="s">
        <v>21</v>
      </c>
      <c r="E4" s="2" t="s">
        <v>29</v>
      </c>
      <c r="F4" s="2" t="s">
        <v>22</v>
      </c>
      <c r="H4" s="2" t="s">
        <v>21</v>
      </c>
      <c r="J4" s="2" t="s">
        <v>22</v>
      </c>
      <c r="K4" s="2" t="s">
        <v>22</v>
      </c>
      <c r="L4" s="2" t="s">
        <v>21</v>
      </c>
      <c r="M4" s="4">
        <v>0.0</v>
      </c>
      <c r="N4" s="2" t="s">
        <v>30</v>
      </c>
      <c r="O4" s="2" t="s">
        <v>31</v>
      </c>
      <c r="P4" s="2" t="s">
        <v>22</v>
      </c>
      <c r="Q4" s="5"/>
      <c r="R4" s="5"/>
    </row>
    <row r="5">
      <c r="A5" s="3">
        <v>44736.4749371412</v>
      </c>
      <c r="B5" s="2" t="s">
        <v>32</v>
      </c>
      <c r="C5" s="2" t="s">
        <v>33</v>
      </c>
      <c r="D5" s="2" t="s">
        <v>34</v>
      </c>
      <c r="E5" s="2" t="s">
        <v>35</v>
      </c>
      <c r="F5" s="2" t="s">
        <v>21</v>
      </c>
      <c r="H5" s="2" t="s">
        <v>21</v>
      </c>
      <c r="J5" s="2" t="s">
        <v>21</v>
      </c>
      <c r="K5" s="2" t="s">
        <v>22</v>
      </c>
      <c r="L5" s="2" t="s">
        <v>22</v>
      </c>
      <c r="M5" s="4">
        <v>0.0</v>
      </c>
      <c r="N5" s="2" t="s">
        <v>26</v>
      </c>
      <c r="P5" s="2" t="s">
        <v>22</v>
      </c>
      <c r="Q5" s="5"/>
      <c r="R5" s="5"/>
    </row>
    <row r="6">
      <c r="A6" s="3">
        <v>44746.815587986115</v>
      </c>
      <c r="B6" s="2" t="s">
        <v>36</v>
      </c>
      <c r="C6" s="2" t="s">
        <v>37</v>
      </c>
      <c r="D6" s="2" t="s">
        <v>38</v>
      </c>
      <c r="E6" s="2" t="s">
        <v>39</v>
      </c>
      <c r="F6" s="2" t="s">
        <v>21</v>
      </c>
      <c r="H6" s="2" t="s">
        <v>21</v>
      </c>
      <c r="J6" s="2" t="s">
        <v>21</v>
      </c>
      <c r="K6" s="2" t="s">
        <v>21</v>
      </c>
      <c r="L6" s="2" t="s">
        <v>21</v>
      </c>
      <c r="M6" s="4">
        <v>0.0</v>
      </c>
      <c r="N6" s="2" t="s">
        <v>40</v>
      </c>
      <c r="O6" s="2" t="s">
        <v>41</v>
      </c>
      <c r="P6" s="2" t="s">
        <v>21</v>
      </c>
      <c r="Q6" s="5"/>
      <c r="R6" s="5"/>
    </row>
    <row r="7">
      <c r="A7" s="3">
        <v>44796.414113969906</v>
      </c>
      <c r="B7" s="2" t="s">
        <v>42</v>
      </c>
      <c r="C7" s="2" t="s">
        <v>37</v>
      </c>
      <c r="D7" s="2" t="s">
        <v>38</v>
      </c>
      <c r="E7" s="2" t="s">
        <v>43</v>
      </c>
      <c r="F7" s="2" t="s">
        <v>21</v>
      </c>
      <c r="H7" s="2" t="s">
        <v>21</v>
      </c>
      <c r="J7" s="2" t="s">
        <v>21</v>
      </c>
      <c r="K7" s="2" t="s">
        <v>22</v>
      </c>
      <c r="L7" s="2" t="s">
        <v>21</v>
      </c>
      <c r="M7" s="4">
        <v>0.0</v>
      </c>
      <c r="N7" s="2" t="s">
        <v>30</v>
      </c>
      <c r="P7" s="2" t="s">
        <v>21</v>
      </c>
    </row>
    <row r="8">
      <c r="A8" s="3">
        <v>44752.78773258102</v>
      </c>
      <c r="B8" s="2" t="s">
        <v>44</v>
      </c>
      <c r="C8" s="2" t="s">
        <v>45</v>
      </c>
      <c r="D8" s="2" t="s">
        <v>21</v>
      </c>
      <c r="E8" s="2" t="s">
        <v>46</v>
      </c>
      <c r="F8" s="2" t="s">
        <v>21</v>
      </c>
      <c r="H8" s="2" t="s">
        <v>21</v>
      </c>
      <c r="J8" s="2" t="s">
        <v>21</v>
      </c>
      <c r="K8" s="2" t="s">
        <v>21</v>
      </c>
      <c r="L8" s="2" t="s">
        <v>21</v>
      </c>
      <c r="M8" s="4">
        <v>0.0</v>
      </c>
      <c r="N8" s="2" t="s">
        <v>23</v>
      </c>
      <c r="P8" s="2" t="s">
        <v>22</v>
      </c>
    </row>
    <row r="9">
      <c r="A9" s="3">
        <v>44736.42728502315</v>
      </c>
      <c r="B9" s="2" t="s">
        <v>47</v>
      </c>
      <c r="C9" s="6" t="s">
        <v>48</v>
      </c>
      <c r="D9" s="2" t="s">
        <v>38</v>
      </c>
      <c r="E9" s="2" t="s">
        <v>21</v>
      </c>
      <c r="F9" s="2" t="s">
        <v>21</v>
      </c>
      <c r="H9" s="2" t="s">
        <v>22</v>
      </c>
      <c r="J9" s="2" t="s">
        <v>22</v>
      </c>
      <c r="K9" s="2" t="s">
        <v>22</v>
      </c>
      <c r="L9" s="2" t="s">
        <v>21</v>
      </c>
      <c r="M9" s="4">
        <v>0.0</v>
      </c>
      <c r="N9" s="2" t="s">
        <v>30</v>
      </c>
      <c r="P9" s="2" t="s">
        <v>22</v>
      </c>
      <c r="Q9" s="5"/>
      <c r="R9" s="5"/>
    </row>
    <row r="10">
      <c r="A10" s="3">
        <v>44796.43236641204</v>
      </c>
      <c r="B10" s="2" t="s">
        <v>49</v>
      </c>
      <c r="C10" s="2" t="s">
        <v>50</v>
      </c>
      <c r="D10" s="2" t="s">
        <v>51</v>
      </c>
      <c r="E10" s="2" t="s">
        <v>52</v>
      </c>
      <c r="F10" s="2" t="s">
        <v>22</v>
      </c>
      <c r="H10" s="2" t="s">
        <v>22</v>
      </c>
      <c r="J10" s="2" t="s">
        <v>22</v>
      </c>
      <c r="K10" s="2" t="s">
        <v>21</v>
      </c>
      <c r="L10" s="2" t="s">
        <v>21</v>
      </c>
      <c r="M10" s="4">
        <v>0.0</v>
      </c>
      <c r="N10" s="2" t="s">
        <v>30</v>
      </c>
      <c r="P10" s="2" t="s">
        <v>22</v>
      </c>
    </row>
    <row r="11">
      <c r="A11" s="3">
        <v>44736.80263181713</v>
      </c>
      <c r="B11" s="2" t="s">
        <v>53</v>
      </c>
      <c r="C11" s="2" t="s">
        <v>54</v>
      </c>
      <c r="D11" s="2" t="s">
        <v>21</v>
      </c>
      <c r="E11" s="2" t="s">
        <v>21</v>
      </c>
      <c r="F11" s="2" t="s">
        <v>21</v>
      </c>
      <c r="H11" s="2" t="s">
        <v>21</v>
      </c>
      <c r="J11" s="2" t="s">
        <v>21</v>
      </c>
      <c r="K11" s="2" t="s">
        <v>22</v>
      </c>
      <c r="L11" s="2" t="s">
        <v>22</v>
      </c>
      <c r="M11" s="4">
        <v>0.0</v>
      </c>
      <c r="N11" s="2" t="s">
        <v>23</v>
      </c>
      <c r="P11" s="2" t="s">
        <v>21</v>
      </c>
      <c r="Q11" s="5"/>
      <c r="R11" s="5"/>
    </row>
    <row r="12">
      <c r="A12" s="3">
        <v>44753.417887523145</v>
      </c>
      <c r="B12" s="2" t="s">
        <v>55</v>
      </c>
      <c r="C12" s="2" t="s">
        <v>54</v>
      </c>
      <c r="D12" s="2" t="s">
        <v>38</v>
      </c>
      <c r="E12" s="2" t="s">
        <v>56</v>
      </c>
      <c r="F12" s="2" t="s">
        <v>22</v>
      </c>
      <c r="H12" s="2" t="s">
        <v>21</v>
      </c>
      <c r="J12" s="2" t="s">
        <v>21</v>
      </c>
      <c r="K12" s="2" t="s">
        <v>22</v>
      </c>
      <c r="L12" s="2" t="s">
        <v>22</v>
      </c>
      <c r="M12" s="4">
        <v>0.0</v>
      </c>
      <c r="N12" s="2" t="s">
        <v>57</v>
      </c>
      <c r="O12" s="2" t="s">
        <v>58</v>
      </c>
      <c r="P12" s="2" t="s">
        <v>21</v>
      </c>
      <c r="Q12" s="5"/>
      <c r="R12" s="5"/>
    </row>
    <row r="13">
      <c r="A13" s="3">
        <v>44735.47251886574</v>
      </c>
      <c r="B13" s="2" t="s">
        <v>59</v>
      </c>
      <c r="C13" s="2" t="s">
        <v>60</v>
      </c>
      <c r="D13" s="2" t="s">
        <v>61</v>
      </c>
      <c r="E13" s="2" t="s">
        <v>62</v>
      </c>
      <c r="F13" s="2" t="s">
        <v>22</v>
      </c>
      <c r="H13" s="2" t="s">
        <v>21</v>
      </c>
      <c r="I13" s="2" t="s">
        <v>22</v>
      </c>
      <c r="J13" s="2" t="s">
        <v>22</v>
      </c>
      <c r="K13" s="2" t="s">
        <v>22</v>
      </c>
      <c r="L13" s="2" t="s">
        <v>21</v>
      </c>
      <c r="M13" s="4">
        <v>0.0</v>
      </c>
      <c r="N13" s="2" t="s">
        <v>63</v>
      </c>
      <c r="O13" s="2" t="s">
        <v>64</v>
      </c>
      <c r="P13" s="5"/>
    </row>
    <row r="14">
      <c r="A14" s="3">
        <v>44749.08729268519</v>
      </c>
      <c r="B14" s="2" t="s">
        <v>65</v>
      </c>
      <c r="C14" s="2" t="s">
        <v>60</v>
      </c>
      <c r="D14" s="2" t="s">
        <v>66</v>
      </c>
      <c r="E14" s="2" t="s">
        <v>67</v>
      </c>
      <c r="F14" s="2" t="s">
        <v>22</v>
      </c>
      <c r="H14" s="2" t="s">
        <v>22</v>
      </c>
      <c r="J14" s="2" t="s">
        <v>22</v>
      </c>
      <c r="K14" s="2" t="s">
        <v>21</v>
      </c>
      <c r="L14" s="2" t="s">
        <v>22</v>
      </c>
      <c r="M14" s="4">
        <v>0.0</v>
      </c>
      <c r="N14" s="2" t="s">
        <v>23</v>
      </c>
      <c r="P14" s="2" t="s">
        <v>22</v>
      </c>
    </row>
    <row r="15">
      <c r="A15" s="3">
        <v>44736.41695644676</v>
      </c>
      <c r="B15" s="2" t="s">
        <v>68</v>
      </c>
      <c r="C15" s="2" t="s">
        <v>69</v>
      </c>
      <c r="D15" s="2" t="s">
        <v>70</v>
      </c>
      <c r="E15" s="2" t="s">
        <v>71</v>
      </c>
      <c r="F15" s="2" t="s">
        <v>22</v>
      </c>
      <c r="H15" s="2" t="s">
        <v>22</v>
      </c>
      <c r="J15" s="2" t="s">
        <v>22</v>
      </c>
      <c r="K15" s="2" t="s">
        <v>22</v>
      </c>
      <c r="L15" s="2" t="s">
        <v>22</v>
      </c>
      <c r="M15" s="4">
        <v>0.0</v>
      </c>
      <c r="N15" s="2" t="s">
        <v>23</v>
      </c>
      <c r="P15" s="2" t="s">
        <v>22</v>
      </c>
    </row>
    <row r="16">
      <c r="A16" s="3">
        <v>44748.498228020835</v>
      </c>
      <c r="B16" s="2" t="s">
        <v>72</v>
      </c>
      <c r="C16" s="2" t="s">
        <v>69</v>
      </c>
      <c r="D16" s="2" t="s">
        <v>38</v>
      </c>
      <c r="E16" s="2" t="s">
        <v>73</v>
      </c>
      <c r="F16" s="2" t="s">
        <v>22</v>
      </c>
      <c r="H16" s="2" t="s">
        <v>21</v>
      </c>
      <c r="J16" s="2" t="s">
        <v>21</v>
      </c>
      <c r="K16" s="2" t="s">
        <v>22</v>
      </c>
      <c r="L16" s="2" t="s">
        <v>21</v>
      </c>
      <c r="M16" s="4">
        <v>0.0</v>
      </c>
      <c r="N16" s="2" t="s">
        <v>23</v>
      </c>
      <c r="O16" s="2" t="s">
        <v>74</v>
      </c>
      <c r="P16" s="2" t="s">
        <v>22</v>
      </c>
    </row>
    <row r="17">
      <c r="A17" s="3">
        <v>44729.57804959491</v>
      </c>
      <c r="B17" s="2" t="s">
        <v>75</v>
      </c>
      <c r="C17" s="2" t="s">
        <v>76</v>
      </c>
      <c r="D17" s="2" t="s">
        <v>77</v>
      </c>
      <c r="E17" s="2" t="s">
        <v>78</v>
      </c>
      <c r="F17" s="2" t="s">
        <v>22</v>
      </c>
      <c r="G17" s="2" t="s">
        <v>21</v>
      </c>
      <c r="H17" s="2" t="s">
        <v>22</v>
      </c>
      <c r="I17" s="2" t="s">
        <v>22</v>
      </c>
      <c r="J17" s="2" t="s">
        <v>22</v>
      </c>
      <c r="K17" s="2" t="s">
        <v>22</v>
      </c>
      <c r="L17" s="2" t="s">
        <v>21</v>
      </c>
      <c r="M17" s="4">
        <v>0.0</v>
      </c>
      <c r="N17" s="2" t="s">
        <v>57</v>
      </c>
      <c r="O17" s="5"/>
      <c r="P17" s="5"/>
    </row>
    <row r="18">
      <c r="A18" s="3">
        <v>44749.722844675925</v>
      </c>
      <c r="B18" s="2" t="s">
        <v>79</v>
      </c>
      <c r="C18" s="2" t="s">
        <v>76</v>
      </c>
      <c r="D18" s="2" t="s">
        <v>80</v>
      </c>
      <c r="E18" s="2" t="s">
        <v>81</v>
      </c>
      <c r="F18" s="2" t="s">
        <v>21</v>
      </c>
      <c r="H18" s="2" t="s">
        <v>21</v>
      </c>
      <c r="J18" s="2" t="s">
        <v>21</v>
      </c>
      <c r="K18" s="2" t="s">
        <v>22</v>
      </c>
      <c r="L18" s="2" t="s">
        <v>21</v>
      </c>
      <c r="M18" s="4">
        <v>0.0</v>
      </c>
      <c r="N18" s="2" t="s">
        <v>40</v>
      </c>
      <c r="P18" s="2" t="s">
        <v>21</v>
      </c>
    </row>
    <row r="19">
      <c r="A19" s="3">
        <v>44809.467450543976</v>
      </c>
      <c r="B19" s="2" t="s">
        <v>75</v>
      </c>
      <c r="C19" s="2" t="s">
        <v>76</v>
      </c>
      <c r="D19" s="2" t="s">
        <v>82</v>
      </c>
      <c r="E19" s="2" t="s">
        <v>83</v>
      </c>
      <c r="F19" s="2" t="s">
        <v>22</v>
      </c>
      <c r="H19" s="2" t="s">
        <v>21</v>
      </c>
      <c r="J19" s="2" t="s">
        <v>22</v>
      </c>
      <c r="K19" s="2" t="s">
        <v>22</v>
      </c>
      <c r="L19" s="2" t="s">
        <v>22</v>
      </c>
      <c r="M19" s="4">
        <v>0.0</v>
      </c>
      <c r="N19" s="2" t="s">
        <v>57</v>
      </c>
      <c r="O19" s="2" t="s">
        <v>84</v>
      </c>
      <c r="P19" s="2" t="s">
        <v>22</v>
      </c>
    </row>
    <row r="20">
      <c r="A20" s="3">
        <v>44760.56758916666</v>
      </c>
      <c r="B20" s="2" t="s">
        <v>85</v>
      </c>
      <c r="C20" s="2" t="s">
        <v>86</v>
      </c>
      <c r="D20" s="2" t="s">
        <v>87</v>
      </c>
      <c r="E20" s="2" t="s">
        <v>88</v>
      </c>
      <c r="F20" s="2" t="s">
        <v>21</v>
      </c>
      <c r="H20" s="2" t="s">
        <v>21</v>
      </c>
      <c r="J20" s="2" t="s">
        <v>21</v>
      </c>
      <c r="K20" s="2" t="s">
        <v>21</v>
      </c>
      <c r="L20" s="2" t="s">
        <v>22</v>
      </c>
      <c r="M20" s="4">
        <v>0.0</v>
      </c>
      <c r="N20" s="2" t="s">
        <v>26</v>
      </c>
      <c r="P20" s="2" t="s">
        <v>21</v>
      </c>
    </row>
    <row r="21">
      <c r="A21" s="3">
        <v>44752.82647418982</v>
      </c>
      <c r="B21" s="2" t="s">
        <v>89</v>
      </c>
      <c r="C21" s="2" t="s">
        <v>90</v>
      </c>
      <c r="D21" s="2" t="s">
        <v>38</v>
      </c>
      <c r="E21" s="2" t="s">
        <v>91</v>
      </c>
      <c r="F21" s="2" t="s">
        <v>22</v>
      </c>
      <c r="H21" s="2" t="s">
        <v>21</v>
      </c>
      <c r="J21" s="2" t="s">
        <v>22</v>
      </c>
      <c r="K21" s="2" t="s">
        <v>22</v>
      </c>
      <c r="L21" s="2" t="s">
        <v>22</v>
      </c>
      <c r="M21" s="4">
        <v>0.0</v>
      </c>
      <c r="N21" s="2" t="s">
        <v>26</v>
      </c>
      <c r="P21" s="2" t="s">
        <v>22</v>
      </c>
    </row>
    <row r="22">
      <c r="A22" s="3">
        <v>44796.43419788194</v>
      </c>
      <c r="B22" s="2" t="s">
        <v>89</v>
      </c>
      <c r="C22" s="2" t="s">
        <v>90</v>
      </c>
      <c r="D22" s="2" t="s">
        <v>38</v>
      </c>
      <c r="E22" s="2" t="s">
        <v>92</v>
      </c>
      <c r="F22" s="2" t="s">
        <v>22</v>
      </c>
      <c r="H22" s="2" t="s">
        <v>21</v>
      </c>
      <c r="J22" s="2" t="s">
        <v>22</v>
      </c>
      <c r="K22" s="2" t="s">
        <v>22</v>
      </c>
      <c r="L22" s="2" t="s">
        <v>22</v>
      </c>
      <c r="M22" s="4">
        <v>0.0</v>
      </c>
      <c r="N22" s="2" t="s">
        <v>26</v>
      </c>
      <c r="P22" s="2" t="s">
        <v>22</v>
      </c>
    </row>
    <row r="23">
      <c r="A23" s="3">
        <v>44737.73141943287</v>
      </c>
      <c r="B23" s="2" t="s">
        <v>93</v>
      </c>
      <c r="C23" s="2" t="s">
        <v>94</v>
      </c>
      <c r="D23" s="2" t="s">
        <v>95</v>
      </c>
      <c r="E23" s="2" t="s">
        <v>96</v>
      </c>
      <c r="F23" s="2" t="s">
        <v>22</v>
      </c>
      <c r="H23" s="2" t="s">
        <v>21</v>
      </c>
      <c r="J23" s="2" t="s">
        <v>21</v>
      </c>
      <c r="K23" s="2" t="s">
        <v>21</v>
      </c>
      <c r="L23" s="2" t="s">
        <v>21</v>
      </c>
      <c r="M23" s="4">
        <v>0.0</v>
      </c>
      <c r="N23" s="2" t="s">
        <v>23</v>
      </c>
      <c r="O23" s="2" t="s">
        <v>97</v>
      </c>
      <c r="P23" s="2" t="s">
        <v>21</v>
      </c>
    </row>
    <row r="24">
      <c r="A24" s="3">
        <v>44744.82631422454</v>
      </c>
      <c r="B24" s="2" t="s">
        <v>98</v>
      </c>
      <c r="C24" s="2" t="s">
        <v>99</v>
      </c>
      <c r="D24" s="2" t="s">
        <v>100</v>
      </c>
      <c r="E24" s="2" t="s">
        <v>101</v>
      </c>
      <c r="F24" s="2" t="s">
        <v>22</v>
      </c>
      <c r="H24" s="2" t="s">
        <v>21</v>
      </c>
      <c r="J24" s="2" t="s">
        <v>22</v>
      </c>
      <c r="K24" s="2" t="s">
        <v>22</v>
      </c>
      <c r="L24" s="2" t="s">
        <v>21</v>
      </c>
      <c r="M24" s="4">
        <v>0.0</v>
      </c>
      <c r="N24" s="2" t="s">
        <v>23</v>
      </c>
      <c r="P24" s="2" t="s">
        <v>22</v>
      </c>
    </row>
    <row r="25">
      <c r="A25" s="3">
        <v>44754.63325530093</v>
      </c>
      <c r="B25" s="2" t="s">
        <v>102</v>
      </c>
      <c r="C25" s="2" t="s">
        <v>99</v>
      </c>
      <c r="D25" s="2" t="s">
        <v>103</v>
      </c>
      <c r="E25" s="2" t="s">
        <v>104</v>
      </c>
      <c r="F25" s="2" t="s">
        <v>22</v>
      </c>
      <c r="H25" s="2" t="s">
        <v>21</v>
      </c>
      <c r="J25" s="2" t="s">
        <v>21</v>
      </c>
      <c r="K25" s="2" t="s">
        <v>22</v>
      </c>
      <c r="L25" s="2" t="s">
        <v>21</v>
      </c>
      <c r="M25" s="4">
        <v>0.0</v>
      </c>
      <c r="N25" s="2" t="s">
        <v>40</v>
      </c>
      <c r="P25" s="2" t="s">
        <v>21</v>
      </c>
    </row>
    <row r="26">
      <c r="A26" s="3">
        <v>44754.81456540509</v>
      </c>
      <c r="B26" s="2" t="s">
        <v>98</v>
      </c>
      <c r="C26" s="2" t="s">
        <v>99</v>
      </c>
      <c r="D26" s="2" t="s">
        <v>38</v>
      </c>
      <c r="E26" s="2" t="s">
        <v>105</v>
      </c>
      <c r="F26" s="2" t="s">
        <v>22</v>
      </c>
      <c r="H26" s="2" t="s">
        <v>22</v>
      </c>
      <c r="J26" s="2" t="s">
        <v>22</v>
      </c>
      <c r="K26" s="2" t="s">
        <v>22</v>
      </c>
      <c r="L26" s="2" t="s">
        <v>21</v>
      </c>
      <c r="M26" s="4">
        <v>0.0</v>
      </c>
      <c r="N26" s="2" t="s">
        <v>23</v>
      </c>
      <c r="P26" s="2" t="s">
        <v>22</v>
      </c>
    </row>
    <row r="27">
      <c r="A27" s="3">
        <v>44735.429950474536</v>
      </c>
      <c r="B27" s="2" t="s">
        <v>106</v>
      </c>
      <c r="C27" s="2" t="s">
        <v>107</v>
      </c>
      <c r="D27" s="2" t="s">
        <v>108</v>
      </c>
      <c r="E27" s="2" t="s">
        <v>109</v>
      </c>
      <c r="F27" s="2" t="s">
        <v>21</v>
      </c>
      <c r="H27" s="2" t="s">
        <v>21</v>
      </c>
      <c r="I27" s="2" t="s">
        <v>22</v>
      </c>
      <c r="J27" s="2" t="s">
        <v>22</v>
      </c>
      <c r="K27" s="2" t="s">
        <v>22</v>
      </c>
      <c r="L27" s="2" t="s">
        <v>21</v>
      </c>
      <c r="M27" s="4">
        <v>0.0</v>
      </c>
      <c r="N27" s="2" t="s">
        <v>40</v>
      </c>
    </row>
    <row r="28">
      <c r="A28" s="3">
        <v>44735.450707592594</v>
      </c>
      <c r="B28" s="2" t="s">
        <v>110</v>
      </c>
      <c r="C28" s="2" t="s">
        <v>107</v>
      </c>
      <c r="D28" s="2" t="s">
        <v>111</v>
      </c>
      <c r="E28" s="2" t="s">
        <v>112</v>
      </c>
      <c r="F28" s="2" t="s">
        <v>21</v>
      </c>
      <c r="H28" s="2" t="s">
        <v>22</v>
      </c>
      <c r="I28" s="2" t="s">
        <v>22</v>
      </c>
      <c r="J28" s="2" t="s">
        <v>21</v>
      </c>
      <c r="K28" s="2" t="s">
        <v>22</v>
      </c>
      <c r="L28" s="2" t="s">
        <v>21</v>
      </c>
      <c r="M28" s="4">
        <v>0.0</v>
      </c>
      <c r="N28" s="2" t="s">
        <v>26</v>
      </c>
    </row>
    <row r="29">
      <c r="A29" s="3">
        <v>44741.56872737268</v>
      </c>
      <c r="B29" s="2" t="s">
        <v>110</v>
      </c>
      <c r="C29" s="2" t="s">
        <v>107</v>
      </c>
      <c r="D29" s="2" t="s">
        <v>111</v>
      </c>
      <c r="E29" s="2" t="s">
        <v>113</v>
      </c>
      <c r="F29" s="2" t="s">
        <v>22</v>
      </c>
      <c r="H29" s="2" t="s">
        <v>22</v>
      </c>
      <c r="J29" s="2" t="s">
        <v>21</v>
      </c>
      <c r="K29" s="2" t="s">
        <v>22</v>
      </c>
      <c r="L29" s="2" t="s">
        <v>22</v>
      </c>
      <c r="M29" s="4">
        <v>0.0</v>
      </c>
      <c r="N29" s="2" t="s">
        <v>26</v>
      </c>
      <c r="P29" s="2" t="s">
        <v>21</v>
      </c>
    </row>
    <row r="30">
      <c r="A30" s="3">
        <v>44749.629021076384</v>
      </c>
      <c r="B30" s="2" t="s">
        <v>114</v>
      </c>
      <c r="C30" s="2" t="s">
        <v>107</v>
      </c>
      <c r="D30" s="2" t="s">
        <v>51</v>
      </c>
      <c r="E30" s="2" t="s">
        <v>115</v>
      </c>
      <c r="F30" s="2" t="s">
        <v>22</v>
      </c>
      <c r="H30" s="2" t="s">
        <v>22</v>
      </c>
      <c r="J30" s="2" t="s">
        <v>22</v>
      </c>
      <c r="K30" s="2" t="s">
        <v>22</v>
      </c>
      <c r="L30" s="2" t="s">
        <v>21</v>
      </c>
      <c r="M30" s="4">
        <v>0.0</v>
      </c>
      <c r="N30" s="2" t="s">
        <v>30</v>
      </c>
      <c r="O30" s="2" t="s">
        <v>116</v>
      </c>
      <c r="P30" s="2" t="s">
        <v>22</v>
      </c>
    </row>
    <row r="31">
      <c r="A31" s="3">
        <v>44738.51188232639</v>
      </c>
      <c r="B31" s="2" t="s">
        <v>117</v>
      </c>
      <c r="C31" s="2" t="s">
        <v>118</v>
      </c>
      <c r="D31" s="2" t="s">
        <v>21</v>
      </c>
      <c r="E31" s="2" t="s">
        <v>119</v>
      </c>
      <c r="F31" s="2" t="s">
        <v>21</v>
      </c>
      <c r="H31" s="2" t="s">
        <v>21</v>
      </c>
      <c r="J31" s="2" t="s">
        <v>22</v>
      </c>
      <c r="K31" s="2" t="s">
        <v>22</v>
      </c>
      <c r="L31" s="2" t="s">
        <v>21</v>
      </c>
      <c r="M31" s="4">
        <v>0.0</v>
      </c>
      <c r="N31" s="2" t="s">
        <v>23</v>
      </c>
      <c r="P31" s="2" t="s">
        <v>21</v>
      </c>
    </row>
    <row r="32">
      <c r="A32" s="3">
        <v>44729.57670457176</v>
      </c>
      <c r="B32" s="2" t="s">
        <v>120</v>
      </c>
      <c r="C32" s="2" t="s">
        <v>121</v>
      </c>
      <c r="D32" s="2" t="s">
        <v>122</v>
      </c>
      <c r="E32" s="2" t="s">
        <v>123</v>
      </c>
      <c r="F32" s="2" t="s">
        <v>22</v>
      </c>
      <c r="G32" s="2" t="s">
        <v>22</v>
      </c>
      <c r="H32" s="2" t="s">
        <v>21</v>
      </c>
      <c r="I32" s="2" t="s">
        <v>22</v>
      </c>
      <c r="J32" s="2" t="s">
        <v>22</v>
      </c>
      <c r="K32" s="2" t="s">
        <v>21</v>
      </c>
      <c r="L32" s="2" t="s">
        <v>22</v>
      </c>
      <c r="M32" s="4">
        <v>0.0</v>
      </c>
      <c r="N32" s="2" t="s">
        <v>30</v>
      </c>
      <c r="O32" s="5"/>
      <c r="P32" s="5"/>
    </row>
    <row r="33">
      <c r="A33" s="3">
        <v>44735.449908622686</v>
      </c>
      <c r="B33" s="2" t="s">
        <v>124</v>
      </c>
      <c r="C33" s="2" t="s">
        <v>121</v>
      </c>
      <c r="D33" s="2" t="s">
        <v>125</v>
      </c>
      <c r="E33" s="2" t="s">
        <v>104</v>
      </c>
      <c r="F33" s="2" t="s">
        <v>22</v>
      </c>
      <c r="G33" s="2" t="s">
        <v>21</v>
      </c>
      <c r="H33" s="2" t="s">
        <v>21</v>
      </c>
      <c r="I33" s="2" t="s">
        <v>22</v>
      </c>
      <c r="J33" s="2" t="s">
        <v>22</v>
      </c>
      <c r="K33" s="2" t="s">
        <v>21</v>
      </c>
      <c r="L33" s="2" t="s">
        <v>21</v>
      </c>
      <c r="M33" s="4">
        <v>0.0</v>
      </c>
      <c r="N33" s="2" t="s">
        <v>30</v>
      </c>
      <c r="O33" s="2" t="s">
        <v>126</v>
      </c>
      <c r="P33" s="2" t="s">
        <v>22</v>
      </c>
    </row>
    <row r="34">
      <c r="A34" s="3">
        <v>44753.58837805556</v>
      </c>
      <c r="B34" s="2" t="s">
        <v>120</v>
      </c>
      <c r="C34" s="2" t="s">
        <v>121</v>
      </c>
      <c r="D34" s="2" t="s">
        <v>127</v>
      </c>
      <c r="E34" s="2" t="s">
        <v>128</v>
      </c>
      <c r="F34" s="2" t="s">
        <v>22</v>
      </c>
      <c r="H34" s="2" t="s">
        <v>22</v>
      </c>
      <c r="J34" s="2" t="s">
        <v>22</v>
      </c>
      <c r="K34" s="2" t="s">
        <v>22</v>
      </c>
      <c r="L34" s="2" t="s">
        <v>22</v>
      </c>
      <c r="M34" s="4">
        <v>0.0</v>
      </c>
      <c r="N34" s="2" t="s">
        <v>30</v>
      </c>
      <c r="O34" s="2" t="s">
        <v>129</v>
      </c>
      <c r="P34" s="2" t="s">
        <v>22</v>
      </c>
    </row>
    <row r="35">
      <c r="A35" s="3">
        <v>44754.54506510417</v>
      </c>
      <c r="B35" s="2" t="s">
        <v>130</v>
      </c>
      <c r="C35" s="2" t="s">
        <v>131</v>
      </c>
      <c r="D35" s="2" t="s">
        <v>38</v>
      </c>
      <c r="E35" s="2" t="s">
        <v>132</v>
      </c>
      <c r="F35" s="2" t="s">
        <v>21</v>
      </c>
      <c r="H35" s="2" t="s">
        <v>21</v>
      </c>
      <c r="J35" s="2" t="s">
        <v>21</v>
      </c>
      <c r="K35" s="2" t="s">
        <v>22</v>
      </c>
      <c r="L35" s="2" t="s">
        <v>22</v>
      </c>
      <c r="M35" s="4">
        <v>0.0</v>
      </c>
      <c r="N35" s="2" t="s">
        <v>30</v>
      </c>
      <c r="O35" s="2" t="s">
        <v>133</v>
      </c>
      <c r="P35" s="2" t="s">
        <v>22</v>
      </c>
    </row>
    <row r="36">
      <c r="A36" s="3">
        <v>44757.63798168981</v>
      </c>
      <c r="B36" s="2" t="s">
        <v>134</v>
      </c>
      <c r="C36" s="2" t="s">
        <v>131</v>
      </c>
      <c r="D36" s="2" t="s">
        <v>38</v>
      </c>
      <c r="E36" s="2" t="s">
        <v>135</v>
      </c>
      <c r="F36" s="2" t="s">
        <v>21</v>
      </c>
      <c r="H36" s="2" t="s">
        <v>22</v>
      </c>
      <c r="J36" s="2" t="s">
        <v>22</v>
      </c>
      <c r="K36" s="2" t="s">
        <v>22</v>
      </c>
      <c r="L36" s="2" t="s">
        <v>21</v>
      </c>
      <c r="M36" s="4">
        <v>0.0</v>
      </c>
      <c r="N36" s="2" t="s">
        <v>26</v>
      </c>
      <c r="O36" s="2" t="s">
        <v>136</v>
      </c>
      <c r="P36" s="2" t="s">
        <v>22</v>
      </c>
    </row>
    <row r="37">
      <c r="A37" s="3">
        <v>44732.91029645833</v>
      </c>
      <c r="B37" s="2" t="s">
        <v>137</v>
      </c>
      <c r="C37" s="2" t="s">
        <v>138</v>
      </c>
      <c r="D37" s="2" t="s">
        <v>139</v>
      </c>
      <c r="E37" s="2" t="s">
        <v>140</v>
      </c>
      <c r="F37" s="2" t="s">
        <v>21</v>
      </c>
      <c r="G37" s="2" t="s">
        <v>21</v>
      </c>
      <c r="H37" s="2" t="s">
        <v>22</v>
      </c>
      <c r="I37" s="2" t="s">
        <v>22</v>
      </c>
      <c r="J37" s="2" t="s">
        <v>22</v>
      </c>
      <c r="K37" s="2" t="s">
        <v>22</v>
      </c>
      <c r="L37" s="2" t="s">
        <v>21</v>
      </c>
      <c r="M37" s="4">
        <v>0.0</v>
      </c>
      <c r="N37" s="2" t="s">
        <v>30</v>
      </c>
      <c r="O37" s="5"/>
      <c r="P37" s="5"/>
    </row>
    <row r="38">
      <c r="A38" s="3">
        <v>44748.56787773148</v>
      </c>
      <c r="B38" s="2" t="s">
        <v>141</v>
      </c>
      <c r="C38" s="2" t="s">
        <v>142</v>
      </c>
      <c r="D38" s="2" t="s">
        <v>143</v>
      </c>
      <c r="E38" s="2" t="s">
        <v>144</v>
      </c>
      <c r="F38" s="2" t="s">
        <v>21</v>
      </c>
      <c r="H38" s="2" t="s">
        <v>21</v>
      </c>
      <c r="J38" s="2" t="s">
        <v>21</v>
      </c>
      <c r="K38" s="2" t="s">
        <v>22</v>
      </c>
      <c r="L38" s="2" t="s">
        <v>22</v>
      </c>
      <c r="M38" s="4">
        <v>0.0</v>
      </c>
      <c r="N38" s="2" t="s">
        <v>23</v>
      </c>
      <c r="P38" s="2" t="s">
        <v>22</v>
      </c>
    </row>
    <row r="39">
      <c r="A39" s="3">
        <v>44741.901858310186</v>
      </c>
      <c r="B39" s="2" t="s">
        <v>145</v>
      </c>
      <c r="C39" s="2" t="s">
        <v>146</v>
      </c>
      <c r="D39" s="2" t="s">
        <v>143</v>
      </c>
      <c r="E39" s="2" t="s">
        <v>147</v>
      </c>
      <c r="F39" s="2" t="s">
        <v>21</v>
      </c>
      <c r="H39" s="2" t="s">
        <v>21</v>
      </c>
      <c r="J39" s="2" t="s">
        <v>22</v>
      </c>
      <c r="K39" s="2" t="s">
        <v>22</v>
      </c>
      <c r="L39" s="2" t="s">
        <v>21</v>
      </c>
      <c r="M39" s="4">
        <v>0.0</v>
      </c>
      <c r="N39" s="2" t="s">
        <v>26</v>
      </c>
      <c r="P39" s="2" t="s">
        <v>22</v>
      </c>
    </row>
    <row r="40">
      <c r="A40" s="3">
        <v>44743.70789480324</v>
      </c>
      <c r="B40" s="2" t="s">
        <v>148</v>
      </c>
      <c r="C40" s="2" t="s">
        <v>149</v>
      </c>
      <c r="D40" s="2" t="s">
        <v>150</v>
      </c>
      <c r="E40" s="2" t="s">
        <v>151</v>
      </c>
      <c r="F40" s="2" t="s">
        <v>21</v>
      </c>
      <c r="H40" s="2" t="s">
        <v>22</v>
      </c>
      <c r="J40" s="2" t="s">
        <v>22</v>
      </c>
      <c r="K40" s="2" t="s">
        <v>21</v>
      </c>
      <c r="L40" s="2" t="s">
        <v>21</v>
      </c>
      <c r="M40" s="4">
        <v>0.0</v>
      </c>
      <c r="N40" s="2" t="s">
        <v>30</v>
      </c>
      <c r="P40" s="2" t="s">
        <v>21</v>
      </c>
    </row>
    <row r="41">
      <c r="A41" s="3">
        <v>44752.96106105324</v>
      </c>
      <c r="B41" s="2" t="s">
        <v>152</v>
      </c>
      <c r="C41" s="2" t="s">
        <v>153</v>
      </c>
      <c r="D41" s="2" t="s">
        <v>154</v>
      </c>
      <c r="E41" s="2" t="s">
        <v>155</v>
      </c>
      <c r="F41" s="2" t="s">
        <v>21</v>
      </c>
      <c r="H41" s="2" t="s">
        <v>21</v>
      </c>
      <c r="J41" s="2" t="s">
        <v>22</v>
      </c>
      <c r="K41" s="2" t="s">
        <v>22</v>
      </c>
      <c r="L41" s="2" t="s">
        <v>22</v>
      </c>
      <c r="M41" s="4">
        <v>0.0</v>
      </c>
      <c r="N41" s="2" t="s">
        <v>40</v>
      </c>
      <c r="P41" s="2" t="s">
        <v>22</v>
      </c>
    </row>
    <row r="42">
      <c r="A42" s="3">
        <v>44757.787366979166</v>
      </c>
      <c r="B42" s="2" t="s">
        <v>156</v>
      </c>
      <c r="C42" s="2" t="s">
        <v>153</v>
      </c>
      <c r="D42" s="2" t="s">
        <v>157</v>
      </c>
      <c r="E42" s="2" t="s">
        <v>158</v>
      </c>
      <c r="F42" s="2" t="s">
        <v>21</v>
      </c>
      <c r="H42" s="2" t="s">
        <v>21</v>
      </c>
      <c r="J42" s="2" t="s">
        <v>21</v>
      </c>
      <c r="K42" s="2" t="s">
        <v>22</v>
      </c>
      <c r="L42" s="2" t="s">
        <v>21</v>
      </c>
      <c r="M42" s="4">
        <v>0.0</v>
      </c>
      <c r="N42" s="2" t="s">
        <v>159</v>
      </c>
      <c r="P42" s="2" t="s">
        <v>22</v>
      </c>
    </row>
    <row r="43">
      <c r="A43" s="3">
        <v>44733.71166943287</v>
      </c>
      <c r="B43" s="2" t="s">
        <v>160</v>
      </c>
      <c r="C43" s="2" t="s">
        <v>161</v>
      </c>
      <c r="D43" s="2" t="s">
        <v>21</v>
      </c>
      <c r="E43" s="2" t="s">
        <v>162</v>
      </c>
      <c r="F43" s="2" t="s">
        <v>22</v>
      </c>
      <c r="G43" s="2" t="s">
        <v>21</v>
      </c>
      <c r="H43" s="2" t="s">
        <v>21</v>
      </c>
      <c r="I43" s="2" t="s">
        <v>22</v>
      </c>
      <c r="J43" s="2" t="s">
        <v>22</v>
      </c>
      <c r="K43" s="2" t="s">
        <v>22</v>
      </c>
      <c r="L43" s="2" t="s">
        <v>21</v>
      </c>
      <c r="M43" s="4">
        <v>0.0</v>
      </c>
      <c r="N43" s="2" t="s">
        <v>63</v>
      </c>
      <c r="O43" s="5"/>
      <c r="P43" s="5"/>
    </row>
    <row r="44">
      <c r="A44" s="3">
        <v>44743.78028019676</v>
      </c>
      <c r="B44" s="2" t="s">
        <v>160</v>
      </c>
      <c r="C44" s="2" t="s">
        <v>161</v>
      </c>
      <c r="D44" s="2" t="s">
        <v>21</v>
      </c>
      <c r="E44" s="2" t="s">
        <v>163</v>
      </c>
      <c r="F44" s="2" t="s">
        <v>22</v>
      </c>
      <c r="H44" s="2" t="s">
        <v>22</v>
      </c>
      <c r="J44" s="2" t="s">
        <v>22</v>
      </c>
      <c r="K44" s="2" t="s">
        <v>22</v>
      </c>
      <c r="L44" s="2" t="s">
        <v>21</v>
      </c>
      <c r="M44" s="4">
        <v>0.0</v>
      </c>
      <c r="N44" s="2" t="s">
        <v>63</v>
      </c>
      <c r="P44" s="2" t="s">
        <v>22</v>
      </c>
    </row>
    <row r="45">
      <c r="A45" s="3">
        <v>44749.67409114583</v>
      </c>
      <c r="B45" s="2" t="s">
        <v>164</v>
      </c>
      <c r="C45" s="2" t="s">
        <v>165</v>
      </c>
      <c r="D45" s="2" t="s">
        <v>38</v>
      </c>
      <c r="E45" s="2" t="s">
        <v>166</v>
      </c>
      <c r="F45" s="2" t="s">
        <v>21</v>
      </c>
      <c r="H45" s="2" t="s">
        <v>22</v>
      </c>
      <c r="J45" s="2" t="s">
        <v>22</v>
      </c>
      <c r="K45" s="2" t="s">
        <v>22</v>
      </c>
      <c r="L45" s="2" t="s">
        <v>22</v>
      </c>
      <c r="M45" s="4">
        <v>0.0</v>
      </c>
      <c r="N45" s="2" t="s">
        <v>26</v>
      </c>
      <c r="O45" s="2" t="s">
        <v>167</v>
      </c>
      <c r="P45" s="2" t="s">
        <v>22</v>
      </c>
    </row>
    <row r="46">
      <c r="A46" s="3">
        <v>44740.83207458333</v>
      </c>
      <c r="B46" s="2" t="s">
        <v>168</v>
      </c>
      <c r="C46" s="2" t="s">
        <v>169</v>
      </c>
      <c r="D46" s="2" t="s">
        <v>170</v>
      </c>
      <c r="E46" s="2" t="s">
        <v>171</v>
      </c>
      <c r="F46" s="2" t="s">
        <v>21</v>
      </c>
      <c r="H46" s="2" t="s">
        <v>22</v>
      </c>
      <c r="J46" s="2" t="s">
        <v>22</v>
      </c>
      <c r="K46" s="2" t="s">
        <v>22</v>
      </c>
      <c r="L46" s="2" t="s">
        <v>22</v>
      </c>
      <c r="M46" s="4">
        <v>0.0</v>
      </c>
      <c r="N46" s="2" t="s">
        <v>63</v>
      </c>
      <c r="O46" s="2" t="s">
        <v>172</v>
      </c>
      <c r="P46" s="2" t="s">
        <v>22</v>
      </c>
    </row>
    <row r="47">
      <c r="A47" s="3">
        <v>44741.82296496528</v>
      </c>
      <c r="B47" s="2" t="s">
        <v>173</v>
      </c>
      <c r="C47" s="2" t="s">
        <v>169</v>
      </c>
      <c r="D47" s="2" t="s">
        <v>174</v>
      </c>
      <c r="E47" s="2" t="s">
        <v>175</v>
      </c>
      <c r="F47" s="2" t="s">
        <v>22</v>
      </c>
      <c r="H47" s="2" t="s">
        <v>22</v>
      </c>
      <c r="J47" s="2" t="s">
        <v>21</v>
      </c>
      <c r="K47" s="2" t="s">
        <v>22</v>
      </c>
      <c r="L47" s="2" t="s">
        <v>21</v>
      </c>
      <c r="M47" s="4">
        <v>0.0</v>
      </c>
      <c r="N47" s="2" t="s">
        <v>63</v>
      </c>
      <c r="O47" s="2" t="s">
        <v>176</v>
      </c>
      <c r="P47" s="2" t="s">
        <v>22</v>
      </c>
    </row>
    <row r="48">
      <c r="A48" s="3">
        <v>44742.39228869213</v>
      </c>
      <c r="B48" s="2" t="s">
        <v>177</v>
      </c>
      <c r="C48" s="2" t="s">
        <v>169</v>
      </c>
      <c r="D48" s="2" t="s">
        <v>178</v>
      </c>
      <c r="E48" s="2" t="s">
        <v>179</v>
      </c>
      <c r="F48" s="2" t="s">
        <v>22</v>
      </c>
      <c r="G48" s="2" t="s">
        <v>180</v>
      </c>
      <c r="H48" s="2" t="s">
        <v>21</v>
      </c>
      <c r="I48" s="2" t="s">
        <v>181</v>
      </c>
      <c r="J48" s="2" t="s">
        <v>22</v>
      </c>
      <c r="K48" s="2" t="s">
        <v>22</v>
      </c>
      <c r="L48" s="2" t="s">
        <v>21</v>
      </c>
      <c r="M48" s="4">
        <v>0.0</v>
      </c>
      <c r="N48" s="2" t="s">
        <v>63</v>
      </c>
      <c r="O48" s="2" t="s">
        <v>182</v>
      </c>
      <c r="P48" s="2" t="s">
        <v>21</v>
      </c>
    </row>
    <row r="49">
      <c r="A49" s="3">
        <v>44752.78644121528</v>
      </c>
      <c r="B49" s="2" t="s">
        <v>183</v>
      </c>
      <c r="C49" s="2" t="s">
        <v>169</v>
      </c>
      <c r="D49" s="2" t="s">
        <v>38</v>
      </c>
      <c r="E49" s="2" t="s">
        <v>184</v>
      </c>
      <c r="F49" s="2" t="s">
        <v>22</v>
      </c>
      <c r="H49" s="2" t="s">
        <v>22</v>
      </c>
      <c r="J49" s="2" t="s">
        <v>22</v>
      </c>
      <c r="K49" s="2" t="s">
        <v>22</v>
      </c>
      <c r="L49" s="2" t="s">
        <v>21</v>
      </c>
      <c r="M49" s="4">
        <v>0.0</v>
      </c>
      <c r="N49" s="2" t="s">
        <v>26</v>
      </c>
      <c r="P49" s="2" t="s">
        <v>22</v>
      </c>
    </row>
    <row r="50">
      <c r="A50" s="3">
        <v>44753.43721883102</v>
      </c>
      <c r="B50" s="2" t="s">
        <v>185</v>
      </c>
      <c r="C50" s="2" t="s">
        <v>169</v>
      </c>
      <c r="D50" s="2" t="s">
        <v>186</v>
      </c>
      <c r="E50" s="2" t="s">
        <v>187</v>
      </c>
      <c r="F50" s="2" t="s">
        <v>22</v>
      </c>
      <c r="H50" s="2" t="s">
        <v>22</v>
      </c>
      <c r="J50" s="2" t="s">
        <v>22</v>
      </c>
      <c r="K50" s="2" t="s">
        <v>22</v>
      </c>
      <c r="L50" s="2" t="s">
        <v>22</v>
      </c>
      <c r="M50" s="4">
        <v>0.0</v>
      </c>
      <c r="N50" s="2" t="s">
        <v>30</v>
      </c>
      <c r="P50" s="2" t="s">
        <v>22</v>
      </c>
    </row>
    <row r="51">
      <c r="A51" s="3">
        <v>44796.4113558449</v>
      </c>
      <c r="B51" s="2" t="s">
        <v>185</v>
      </c>
      <c r="C51" s="2" t="s">
        <v>169</v>
      </c>
      <c r="D51" s="2" t="s">
        <v>186</v>
      </c>
      <c r="E51" s="2" t="s">
        <v>187</v>
      </c>
      <c r="F51" s="2" t="s">
        <v>22</v>
      </c>
      <c r="H51" s="2" t="s">
        <v>22</v>
      </c>
      <c r="J51" s="2" t="s">
        <v>22</v>
      </c>
      <c r="K51" s="2" t="s">
        <v>22</v>
      </c>
      <c r="L51" s="2" t="s">
        <v>22</v>
      </c>
      <c r="M51" s="4">
        <v>0.0</v>
      </c>
      <c r="N51" s="2" t="s">
        <v>30</v>
      </c>
      <c r="P51" s="2" t="s">
        <v>22</v>
      </c>
    </row>
    <row r="52">
      <c r="A52" s="3">
        <v>44806.582589502315</v>
      </c>
      <c r="B52" s="2" t="s">
        <v>168</v>
      </c>
      <c r="C52" s="2" t="s">
        <v>169</v>
      </c>
      <c r="D52" s="2" t="s">
        <v>188</v>
      </c>
      <c r="E52" s="2" t="s">
        <v>189</v>
      </c>
      <c r="F52" s="2" t="s">
        <v>22</v>
      </c>
      <c r="H52" s="2" t="s">
        <v>22</v>
      </c>
      <c r="J52" s="2" t="s">
        <v>22</v>
      </c>
      <c r="K52" s="2" t="s">
        <v>22</v>
      </c>
      <c r="L52" s="2" t="s">
        <v>21</v>
      </c>
      <c r="M52" s="4">
        <v>0.0</v>
      </c>
      <c r="N52" s="2" t="s">
        <v>63</v>
      </c>
      <c r="O52" s="2" t="s">
        <v>190</v>
      </c>
      <c r="P52" s="2" t="s">
        <v>22</v>
      </c>
    </row>
    <row r="53">
      <c r="A53" s="3">
        <v>44736.33771104166</v>
      </c>
      <c r="B53" s="2" t="s">
        <v>191</v>
      </c>
      <c r="C53" s="2" t="s">
        <v>192</v>
      </c>
      <c r="D53" s="2" t="s">
        <v>193</v>
      </c>
      <c r="E53" s="2" t="s">
        <v>194</v>
      </c>
      <c r="F53" s="2" t="s">
        <v>22</v>
      </c>
      <c r="H53" s="2" t="s">
        <v>22</v>
      </c>
      <c r="J53" s="2" t="s">
        <v>22</v>
      </c>
      <c r="K53" s="2" t="s">
        <v>21</v>
      </c>
      <c r="L53" s="2" t="s">
        <v>21</v>
      </c>
      <c r="M53" s="4">
        <v>0.0</v>
      </c>
      <c r="N53" s="2" t="s">
        <v>30</v>
      </c>
      <c r="P53" s="2" t="s">
        <v>22</v>
      </c>
    </row>
    <row r="54">
      <c r="A54" s="3">
        <v>44736.39558943287</v>
      </c>
      <c r="B54" s="2" t="s">
        <v>195</v>
      </c>
      <c r="C54" s="2" t="s">
        <v>196</v>
      </c>
      <c r="D54" s="2" t="s">
        <v>21</v>
      </c>
      <c r="E54" s="2" t="s">
        <v>197</v>
      </c>
      <c r="F54" s="2" t="s">
        <v>21</v>
      </c>
      <c r="H54" s="2" t="s">
        <v>21</v>
      </c>
      <c r="J54" s="2" t="s">
        <v>21</v>
      </c>
      <c r="K54" s="2" t="s">
        <v>21</v>
      </c>
      <c r="L54" s="2" t="s">
        <v>21</v>
      </c>
      <c r="M54" s="4">
        <v>0.0</v>
      </c>
      <c r="N54" s="2" t="s">
        <v>40</v>
      </c>
      <c r="O54" s="2" t="s">
        <v>198</v>
      </c>
      <c r="P54" s="2" t="s">
        <v>22</v>
      </c>
    </row>
    <row r="55">
      <c r="A55" s="3">
        <v>44743.302102546295</v>
      </c>
      <c r="B55" s="2" t="s">
        <v>199</v>
      </c>
      <c r="C55" s="2" t="s">
        <v>196</v>
      </c>
      <c r="D55" s="2" t="s">
        <v>125</v>
      </c>
      <c r="E55" s="2" t="s">
        <v>200</v>
      </c>
      <c r="F55" s="2" t="s">
        <v>21</v>
      </c>
      <c r="H55" s="2" t="s">
        <v>21</v>
      </c>
      <c r="J55" s="2" t="s">
        <v>21</v>
      </c>
      <c r="K55" s="2" t="s">
        <v>21</v>
      </c>
      <c r="L55" s="2" t="s">
        <v>21</v>
      </c>
      <c r="M55" s="4">
        <v>0.0</v>
      </c>
      <c r="N55" s="2" t="s">
        <v>30</v>
      </c>
      <c r="P55" s="2" t="s">
        <v>21</v>
      </c>
    </row>
    <row r="56">
      <c r="A56" s="3">
        <v>44753.592745891205</v>
      </c>
      <c r="B56" s="2" t="s">
        <v>201</v>
      </c>
      <c r="C56" s="2" t="s">
        <v>202</v>
      </c>
      <c r="D56" s="2" t="s">
        <v>51</v>
      </c>
      <c r="E56" s="2" t="s">
        <v>203</v>
      </c>
      <c r="F56" s="2" t="s">
        <v>22</v>
      </c>
      <c r="H56" s="2" t="s">
        <v>21</v>
      </c>
      <c r="J56" s="2" t="s">
        <v>21</v>
      </c>
      <c r="K56" s="2" t="s">
        <v>21</v>
      </c>
      <c r="L56" s="2" t="s">
        <v>21</v>
      </c>
      <c r="M56" s="4">
        <v>0.0</v>
      </c>
      <c r="N56" s="2" t="s">
        <v>30</v>
      </c>
      <c r="P56" s="2" t="s">
        <v>21</v>
      </c>
    </row>
    <row r="57">
      <c r="A57" s="3">
        <v>44727.73167896991</v>
      </c>
      <c r="B57" s="2" t="s">
        <v>204</v>
      </c>
      <c r="C57" s="2" t="s">
        <v>205</v>
      </c>
      <c r="D57" s="2" t="s">
        <v>206</v>
      </c>
      <c r="E57" s="2" t="s">
        <v>207</v>
      </c>
      <c r="F57" s="2" t="s">
        <v>22</v>
      </c>
      <c r="G57" s="2" t="s">
        <v>22</v>
      </c>
      <c r="H57" s="2" t="s">
        <v>22</v>
      </c>
      <c r="I57" s="2" t="s">
        <v>22</v>
      </c>
      <c r="J57" s="2" t="s">
        <v>22</v>
      </c>
      <c r="K57" s="2" t="s">
        <v>22</v>
      </c>
      <c r="L57" s="2" t="s">
        <v>22</v>
      </c>
      <c r="M57" s="4">
        <v>0.0</v>
      </c>
      <c r="N57" s="2" t="s">
        <v>26</v>
      </c>
      <c r="O57" s="5"/>
      <c r="P57" s="5"/>
    </row>
    <row r="58">
      <c r="A58" s="3">
        <v>44735.345563090275</v>
      </c>
      <c r="B58" s="2" t="s">
        <v>204</v>
      </c>
      <c r="C58" s="2" t="s">
        <v>205</v>
      </c>
      <c r="D58" s="2" t="s">
        <v>208</v>
      </c>
      <c r="E58" s="2" t="s">
        <v>209</v>
      </c>
      <c r="F58" s="2" t="s">
        <v>22</v>
      </c>
      <c r="H58" s="2" t="s">
        <v>22</v>
      </c>
      <c r="I58" s="2" t="s">
        <v>22</v>
      </c>
      <c r="J58" s="2" t="s">
        <v>22</v>
      </c>
      <c r="K58" s="2" t="s">
        <v>22</v>
      </c>
      <c r="L58" s="2" t="s">
        <v>22</v>
      </c>
      <c r="M58" s="4">
        <v>0.0</v>
      </c>
      <c r="N58" s="2" t="s">
        <v>26</v>
      </c>
    </row>
    <row r="59">
      <c r="A59" s="3">
        <v>44846.7113628588</v>
      </c>
      <c r="B59" s="2" t="s">
        <v>210</v>
      </c>
      <c r="C59" s="2" t="s">
        <v>211</v>
      </c>
      <c r="D59" s="2" t="s">
        <v>212</v>
      </c>
      <c r="E59" s="2" t="s">
        <v>213</v>
      </c>
      <c r="F59" s="2" t="s">
        <v>22</v>
      </c>
      <c r="H59" s="2" t="s">
        <v>22</v>
      </c>
      <c r="I59" s="2" t="s">
        <v>22</v>
      </c>
      <c r="J59" s="2" t="s">
        <v>22</v>
      </c>
      <c r="K59" s="2" t="s">
        <v>22</v>
      </c>
      <c r="L59" s="2" t="s">
        <v>22</v>
      </c>
      <c r="M59" s="4">
        <v>0.0</v>
      </c>
      <c r="N59" s="2" t="s">
        <v>57</v>
      </c>
      <c r="O59" s="2" t="s">
        <v>214</v>
      </c>
      <c r="P59" s="2" t="s">
        <v>22</v>
      </c>
    </row>
    <row r="60">
      <c r="A60" s="3">
        <v>44735.97145625</v>
      </c>
      <c r="B60" s="2" t="s">
        <v>215</v>
      </c>
      <c r="C60" s="2" t="s">
        <v>205</v>
      </c>
      <c r="D60" s="2" t="s">
        <v>216</v>
      </c>
      <c r="E60" s="2" t="s">
        <v>20</v>
      </c>
      <c r="F60" s="2" t="s">
        <v>21</v>
      </c>
      <c r="H60" s="2" t="s">
        <v>21</v>
      </c>
      <c r="J60" s="2" t="s">
        <v>21</v>
      </c>
      <c r="K60" s="2" t="s">
        <v>21</v>
      </c>
      <c r="L60" s="2" t="s">
        <v>21</v>
      </c>
      <c r="M60" s="4">
        <v>0.0</v>
      </c>
      <c r="N60" s="2" t="s">
        <v>26</v>
      </c>
      <c r="P60" s="2" t="s">
        <v>22</v>
      </c>
    </row>
    <row r="61">
      <c r="A61" s="3">
        <v>44753.49893543981</v>
      </c>
      <c r="B61" s="2" t="s">
        <v>217</v>
      </c>
      <c r="C61" s="2" t="s">
        <v>205</v>
      </c>
      <c r="D61" s="2" t="s">
        <v>218</v>
      </c>
      <c r="E61" s="2" t="s">
        <v>219</v>
      </c>
      <c r="F61" s="2" t="s">
        <v>22</v>
      </c>
      <c r="H61" s="2" t="s">
        <v>21</v>
      </c>
      <c r="J61" s="2" t="s">
        <v>22</v>
      </c>
      <c r="K61" s="2" t="s">
        <v>22</v>
      </c>
      <c r="L61" s="2" t="s">
        <v>21</v>
      </c>
      <c r="M61" s="4">
        <v>0.0</v>
      </c>
      <c r="N61" s="2" t="s">
        <v>57</v>
      </c>
      <c r="O61" s="2" t="s">
        <v>220</v>
      </c>
      <c r="P61" s="2" t="s">
        <v>21</v>
      </c>
    </row>
    <row r="62">
      <c r="A62" s="3">
        <v>44764.63688346065</v>
      </c>
      <c r="B62" s="2" t="s">
        <v>215</v>
      </c>
      <c r="C62" s="2" t="s">
        <v>205</v>
      </c>
      <c r="D62" s="2" t="s">
        <v>221</v>
      </c>
      <c r="E62" s="2" t="s">
        <v>21</v>
      </c>
      <c r="F62" s="2" t="s">
        <v>22</v>
      </c>
      <c r="H62" s="2" t="s">
        <v>22</v>
      </c>
      <c r="J62" s="2" t="s">
        <v>22</v>
      </c>
      <c r="K62" s="2" t="s">
        <v>22</v>
      </c>
      <c r="L62" s="2" t="s">
        <v>22</v>
      </c>
      <c r="M62" s="4">
        <v>0.0</v>
      </c>
      <c r="N62" s="2" t="s">
        <v>57</v>
      </c>
      <c r="P62" s="2" t="s">
        <v>22</v>
      </c>
    </row>
    <row r="63">
      <c r="A63" s="3">
        <v>44796.41465922454</v>
      </c>
      <c r="B63" s="2" t="s">
        <v>222</v>
      </c>
      <c r="C63" s="2" t="s">
        <v>223</v>
      </c>
      <c r="D63" s="2" t="s">
        <v>224</v>
      </c>
      <c r="E63" s="2" t="s">
        <v>225</v>
      </c>
      <c r="F63" s="2" t="s">
        <v>22</v>
      </c>
      <c r="H63" s="2" t="s">
        <v>22</v>
      </c>
      <c r="J63" s="2" t="s">
        <v>22</v>
      </c>
      <c r="K63" s="2" t="s">
        <v>22</v>
      </c>
      <c r="L63" s="2" t="s">
        <v>22</v>
      </c>
      <c r="M63" s="4">
        <v>0.0</v>
      </c>
      <c r="N63" s="2" t="s">
        <v>30</v>
      </c>
      <c r="P63" s="2" t="s">
        <v>22</v>
      </c>
    </row>
    <row r="64">
      <c r="A64" s="3">
        <v>44736.34511996528</v>
      </c>
      <c r="B64" s="2" t="s">
        <v>226</v>
      </c>
      <c r="C64" s="2" t="s">
        <v>227</v>
      </c>
      <c r="D64" s="2" t="s">
        <v>228</v>
      </c>
      <c r="E64" s="2" t="s">
        <v>229</v>
      </c>
      <c r="F64" s="2" t="s">
        <v>22</v>
      </c>
      <c r="H64" s="2" t="s">
        <v>21</v>
      </c>
      <c r="J64" s="2" t="s">
        <v>22</v>
      </c>
      <c r="K64" s="2" t="s">
        <v>22</v>
      </c>
      <c r="L64" s="2" t="s">
        <v>21</v>
      </c>
      <c r="M64" s="4">
        <v>0.0</v>
      </c>
      <c r="N64" s="2" t="s">
        <v>159</v>
      </c>
      <c r="P64" s="2" t="s">
        <v>22</v>
      </c>
    </row>
    <row r="65">
      <c r="A65" s="3">
        <v>44741.545503807865</v>
      </c>
      <c r="B65" s="2" t="s">
        <v>230</v>
      </c>
      <c r="C65" s="2" t="s">
        <v>227</v>
      </c>
      <c r="D65" s="2" t="s">
        <v>150</v>
      </c>
      <c r="E65" s="2" t="s">
        <v>231</v>
      </c>
      <c r="F65" s="2" t="s">
        <v>21</v>
      </c>
      <c r="H65" s="2" t="s">
        <v>22</v>
      </c>
      <c r="J65" s="2" t="s">
        <v>22</v>
      </c>
      <c r="K65" s="2" t="s">
        <v>22</v>
      </c>
      <c r="L65" s="2" t="s">
        <v>22</v>
      </c>
      <c r="M65" s="4">
        <v>0.0</v>
      </c>
      <c r="N65" s="2" t="s">
        <v>40</v>
      </c>
      <c r="P65" s="2" t="s">
        <v>22</v>
      </c>
    </row>
    <row r="66">
      <c r="A66" s="3">
        <v>44749.6190578588</v>
      </c>
      <c r="B66" s="2" t="s">
        <v>226</v>
      </c>
      <c r="C66" s="2" t="s">
        <v>227</v>
      </c>
      <c r="D66" s="2" t="s">
        <v>125</v>
      </c>
      <c r="E66" s="2" t="s">
        <v>232</v>
      </c>
      <c r="F66" s="2" t="s">
        <v>22</v>
      </c>
      <c r="H66" s="2" t="s">
        <v>22</v>
      </c>
      <c r="J66" s="2" t="s">
        <v>22</v>
      </c>
      <c r="K66" s="2" t="s">
        <v>22</v>
      </c>
      <c r="L66" s="2" t="s">
        <v>21</v>
      </c>
      <c r="M66" s="4">
        <v>0.0</v>
      </c>
      <c r="N66" s="2" t="s">
        <v>159</v>
      </c>
      <c r="P66" s="2" t="s">
        <v>22</v>
      </c>
    </row>
    <row r="67">
      <c r="A67" s="3">
        <v>44782.70483541666</v>
      </c>
      <c r="B67" s="2" t="s">
        <v>230</v>
      </c>
      <c r="C67" s="2" t="s">
        <v>227</v>
      </c>
      <c r="D67" s="2" t="s">
        <v>233</v>
      </c>
      <c r="E67" s="2" t="s">
        <v>234</v>
      </c>
      <c r="F67" s="2" t="s">
        <v>22</v>
      </c>
      <c r="H67" s="2" t="s">
        <v>22</v>
      </c>
      <c r="J67" s="2" t="s">
        <v>22</v>
      </c>
      <c r="K67" s="2" t="s">
        <v>22</v>
      </c>
      <c r="L67" s="2" t="s">
        <v>22</v>
      </c>
      <c r="M67" s="4">
        <v>0.0</v>
      </c>
      <c r="N67" s="2" t="s">
        <v>40</v>
      </c>
      <c r="P67" s="2" t="s">
        <v>22</v>
      </c>
    </row>
    <row r="68">
      <c r="A68" s="3">
        <v>44736.4832340625</v>
      </c>
      <c r="B68" s="2" t="s">
        <v>235</v>
      </c>
      <c r="C68" s="2" t="s">
        <v>236</v>
      </c>
      <c r="D68" s="2" t="s">
        <v>150</v>
      </c>
      <c r="E68" s="2" t="s">
        <v>237</v>
      </c>
      <c r="F68" s="2" t="s">
        <v>21</v>
      </c>
      <c r="H68" s="2" t="s">
        <v>21</v>
      </c>
      <c r="J68" s="2" t="s">
        <v>22</v>
      </c>
      <c r="K68" s="2" t="s">
        <v>21</v>
      </c>
      <c r="L68" s="2" t="s">
        <v>21</v>
      </c>
      <c r="M68" s="4">
        <v>0.0</v>
      </c>
      <c r="N68" s="2" t="s">
        <v>30</v>
      </c>
      <c r="P68" s="2" t="s">
        <v>21</v>
      </c>
    </row>
    <row r="69">
      <c r="A69" s="3">
        <v>44736.58682164352</v>
      </c>
      <c r="B69" s="2" t="s">
        <v>238</v>
      </c>
      <c r="C69" s="2" t="s">
        <v>236</v>
      </c>
      <c r="D69" s="2" t="s">
        <v>239</v>
      </c>
      <c r="E69" s="2" t="s">
        <v>240</v>
      </c>
      <c r="F69" s="2" t="s">
        <v>22</v>
      </c>
      <c r="H69" s="2" t="s">
        <v>21</v>
      </c>
      <c r="J69" s="2" t="s">
        <v>21</v>
      </c>
      <c r="K69" s="2" t="s">
        <v>22</v>
      </c>
      <c r="L69" s="2" t="s">
        <v>21</v>
      </c>
      <c r="M69" s="4">
        <v>0.0</v>
      </c>
      <c r="N69" s="2" t="s">
        <v>23</v>
      </c>
      <c r="P69" s="2" t="s">
        <v>22</v>
      </c>
    </row>
    <row r="70">
      <c r="A70" s="3">
        <v>44749.904633784725</v>
      </c>
      <c r="B70" s="2" t="s">
        <v>241</v>
      </c>
      <c r="C70" s="2" t="s">
        <v>236</v>
      </c>
      <c r="D70" s="2" t="s">
        <v>127</v>
      </c>
      <c r="E70" s="2" t="s">
        <v>242</v>
      </c>
      <c r="F70" s="2" t="s">
        <v>22</v>
      </c>
      <c r="H70" s="2" t="s">
        <v>22</v>
      </c>
      <c r="J70" s="2" t="s">
        <v>22</v>
      </c>
      <c r="K70" s="2" t="s">
        <v>21</v>
      </c>
      <c r="L70" s="2" t="s">
        <v>21</v>
      </c>
      <c r="M70" s="4">
        <v>0.0</v>
      </c>
      <c r="N70" s="2" t="s">
        <v>23</v>
      </c>
      <c r="P70" s="2" t="s">
        <v>22</v>
      </c>
    </row>
    <row r="71">
      <c r="A71" s="3">
        <v>44737.321096886575</v>
      </c>
      <c r="B71" s="2" t="s">
        <v>243</v>
      </c>
      <c r="C71" s="2" t="s">
        <v>244</v>
      </c>
      <c r="D71" s="2" t="s">
        <v>245</v>
      </c>
      <c r="E71" s="2" t="s">
        <v>246</v>
      </c>
      <c r="F71" s="2" t="s">
        <v>21</v>
      </c>
      <c r="H71" s="2" t="s">
        <v>21</v>
      </c>
      <c r="J71" s="2" t="s">
        <v>22</v>
      </c>
      <c r="K71" s="2" t="s">
        <v>22</v>
      </c>
      <c r="L71" s="2" t="s">
        <v>22</v>
      </c>
      <c r="M71" s="4">
        <v>0.0</v>
      </c>
      <c r="N71" s="2" t="s">
        <v>63</v>
      </c>
      <c r="P71" s="2" t="s">
        <v>21</v>
      </c>
    </row>
    <row r="72">
      <c r="A72" s="3">
        <v>44827.59986032407</v>
      </c>
      <c r="B72" s="2" t="s">
        <v>75</v>
      </c>
      <c r="C72" s="2" t="s">
        <v>76</v>
      </c>
      <c r="D72" s="2" t="s">
        <v>247</v>
      </c>
      <c r="E72" s="2" t="s">
        <v>248</v>
      </c>
      <c r="F72" s="2" t="s">
        <v>22</v>
      </c>
      <c r="H72" s="2" t="s">
        <v>21</v>
      </c>
      <c r="J72" s="2" t="s">
        <v>22</v>
      </c>
      <c r="K72" s="2" t="s">
        <v>22</v>
      </c>
      <c r="L72" s="2" t="s">
        <v>22</v>
      </c>
      <c r="M72" s="4">
        <v>0.0</v>
      </c>
      <c r="N72" s="2" t="s">
        <v>57</v>
      </c>
      <c r="P72" s="2" t="s">
        <v>22</v>
      </c>
    </row>
    <row r="73">
      <c r="A73" s="7">
        <v>44823.630833333336</v>
      </c>
      <c r="B73" s="2" t="s">
        <v>249</v>
      </c>
      <c r="C73" s="2" t="s">
        <v>99</v>
      </c>
      <c r="D73" s="2" t="s">
        <v>250</v>
      </c>
      <c r="E73" s="2" t="s">
        <v>21</v>
      </c>
      <c r="F73" s="2" t="s">
        <v>22</v>
      </c>
      <c r="G73" s="2" t="s">
        <v>21</v>
      </c>
      <c r="H73" s="2" t="s">
        <v>21</v>
      </c>
      <c r="I73" s="2" t="s">
        <v>21</v>
      </c>
      <c r="J73" s="2" t="s">
        <v>22</v>
      </c>
      <c r="K73" s="2" t="s">
        <v>21</v>
      </c>
      <c r="L73" s="2" t="s">
        <v>21</v>
      </c>
      <c r="N73" s="2" t="s">
        <v>251</v>
      </c>
      <c r="P73" s="2" t="s">
        <v>21</v>
      </c>
    </row>
  </sheetData>
  <customSheetViews>
    <customSheetView guid="{5E9939E5-B2F7-4161-B134-781321B44BE1}" filter="1" showAutoFilter="1">
      <autoFilter ref="$B$1:$B$172"/>
    </customSheetView>
    <customSheetView guid="{616D44E7-2E63-4ABD-8E98-00E1C21D7BFA}" filter="1" showAutoFilter="1">
      <autoFilter ref="$A$1:$P$73"/>
    </customSheetView>
  </customSheetView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s>
  <sheetData>
    <row r="1">
      <c r="B1" s="2" t="s">
        <v>254</v>
      </c>
    </row>
    <row r="2">
      <c r="A2" s="8" t="s">
        <v>18</v>
      </c>
      <c r="B2" s="1" t="str">
        <f>vlookup(A2,'Form responses 1'!$C$2:$C$129,1,false)</f>
        <v>Albania</v>
      </c>
    </row>
    <row r="3">
      <c r="A3" s="8" t="s">
        <v>33</v>
      </c>
      <c r="B3" s="1" t="str">
        <f>vlookup(A3,'Form responses 1'!$C$2:$C$129,1,false)</f>
        <v>Austria</v>
      </c>
    </row>
    <row r="4">
      <c r="A4" s="8" t="s">
        <v>255</v>
      </c>
      <c r="B4" s="1" t="str">
        <f>vlookup(A4,'Form responses 1'!$C$2:$C$129,1,false)</f>
        <v>#N/A</v>
      </c>
    </row>
    <row r="5">
      <c r="A5" s="8" t="s">
        <v>256</v>
      </c>
      <c r="B5" s="1" t="str">
        <f>vlookup(A5,'Form responses 1'!$C$2:$C$129,1,false)</f>
        <v>#N/A</v>
      </c>
    </row>
    <row r="6">
      <c r="A6" s="8" t="s">
        <v>257</v>
      </c>
      <c r="B6" s="1" t="str">
        <f>vlookup(A6,'Form responses 1'!$C$2:$C$129,1,false)</f>
        <v>#N/A</v>
      </c>
    </row>
    <row r="7">
      <c r="A7" s="8" t="s">
        <v>37</v>
      </c>
      <c r="B7" s="1" t="str">
        <f>vlookup(A7,'Form responses 1'!$C$2:$C$129,1,false)</f>
        <v>Croatia</v>
      </c>
    </row>
    <row r="8">
      <c r="A8" s="8" t="s">
        <v>45</v>
      </c>
      <c r="B8" s="1" t="str">
        <f>vlookup(A8,'Form responses 1'!$C$2:$C$129,1,false)</f>
        <v>Cyprus</v>
      </c>
    </row>
    <row r="9">
      <c r="A9" s="8" t="s">
        <v>48</v>
      </c>
      <c r="B9" s="1" t="str">
        <f>vlookup(A9,'Form responses 1'!$C$2:$C$129,1,false)</f>
        <v>Czech Republic</v>
      </c>
    </row>
    <row r="10">
      <c r="A10" s="8" t="s">
        <v>258</v>
      </c>
      <c r="B10" s="1" t="str">
        <f>vlookup(A10,'Form responses 1'!$C$2:$C$129,1,false)</f>
        <v>#N/A</v>
      </c>
    </row>
    <row r="11">
      <c r="A11" s="8" t="s">
        <v>54</v>
      </c>
      <c r="B11" s="1" t="str">
        <f>vlookup(A11,'Form responses 1'!$C$2:$C$129,1,false)</f>
        <v>Estonia</v>
      </c>
    </row>
    <row r="12">
      <c r="A12" s="8" t="s">
        <v>259</v>
      </c>
      <c r="B12" s="1" t="str">
        <f>vlookup(A12,'Form responses 1'!$C$2:$C$129,1,false)</f>
        <v>#N/A</v>
      </c>
    </row>
    <row r="13">
      <c r="A13" s="8" t="s">
        <v>60</v>
      </c>
      <c r="B13" s="1" t="str">
        <f>vlookup(A13,'Form responses 1'!$C$2:$C$129,1,false)</f>
        <v>France</v>
      </c>
    </row>
    <row r="14">
      <c r="A14" s="8" t="s">
        <v>260</v>
      </c>
      <c r="B14" s="1" t="str">
        <f>vlookup(A14,'Form responses 1'!$C$2:$C$129,1,false)</f>
        <v>#N/A</v>
      </c>
    </row>
    <row r="15">
      <c r="A15" s="8" t="s">
        <v>69</v>
      </c>
      <c r="B15" s="1" t="str">
        <f>vlookup(A15,'Form responses 1'!$C$2:$C$129,1,false)</f>
        <v>Germany</v>
      </c>
    </row>
    <row r="16">
      <c r="A16" s="8" t="s">
        <v>76</v>
      </c>
      <c r="B16" s="1" t="str">
        <f>vlookup(A16,'Form responses 1'!$C$2:$C$129,1,false)</f>
        <v>Greece</v>
      </c>
    </row>
    <row r="17">
      <c r="A17" s="8" t="s">
        <v>90</v>
      </c>
      <c r="B17" s="1" t="str">
        <f>vlookup(A17,'Form responses 1'!$C$2:$C$129,1,false)</f>
        <v>Hungary</v>
      </c>
    </row>
    <row r="18">
      <c r="A18" s="8" t="s">
        <v>261</v>
      </c>
      <c r="B18" s="1" t="str">
        <f>vlookup(A18,'Form responses 1'!$C$2:$C$129,1,false)</f>
        <v>#N/A</v>
      </c>
    </row>
    <row r="19">
      <c r="A19" s="8" t="s">
        <v>99</v>
      </c>
      <c r="B19" s="1" t="str">
        <f>vlookup(A19,'Form responses 1'!$C$2:$C$129,1,false)</f>
        <v>Ireland</v>
      </c>
    </row>
    <row r="20">
      <c r="A20" s="8" t="s">
        <v>107</v>
      </c>
      <c r="B20" s="1" t="str">
        <f>vlookup(A20,'Form responses 1'!$C$2:$C$129,1,false)</f>
        <v>Italy</v>
      </c>
    </row>
    <row r="21">
      <c r="A21" s="8" t="s">
        <v>118</v>
      </c>
      <c r="B21" s="1" t="str">
        <f>vlookup(A21,'Form responses 1'!$C$2:$C$129,1,false)</f>
        <v>Latvia</v>
      </c>
    </row>
    <row r="22">
      <c r="A22" s="8" t="s">
        <v>121</v>
      </c>
      <c r="B22" s="1" t="str">
        <f>vlookup(A22,'Form responses 1'!$C$2:$C$129,1,false)</f>
        <v>Lithuania</v>
      </c>
    </row>
    <row r="23">
      <c r="A23" s="8" t="s">
        <v>262</v>
      </c>
      <c r="B23" s="1" t="str">
        <f>vlookup(A23,'Form responses 1'!$C$2:$C$129,1,false)</f>
        <v>#N/A</v>
      </c>
    </row>
    <row r="24">
      <c r="A24" s="8" t="s">
        <v>131</v>
      </c>
      <c r="B24" s="1" t="str">
        <f>vlookup(A24,'Form responses 1'!$C$2:$C$129,1,false)</f>
        <v>Malta</v>
      </c>
    </row>
    <row r="25">
      <c r="A25" s="8" t="s">
        <v>263</v>
      </c>
      <c r="B25" s="1" t="str">
        <f>vlookup(A25,'Form responses 1'!$C$2:$C$129,1,false)</f>
        <v>#N/A</v>
      </c>
    </row>
    <row r="26">
      <c r="A26" s="8" t="s">
        <v>264</v>
      </c>
      <c r="B26" s="1" t="str">
        <f>vlookup(A26,'Form responses 1'!$C$2:$C$129,1,false)</f>
        <v>#N/A</v>
      </c>
    </row>
    <row r="27">
      <c r="A27" s="8" t="s">
        <v>142</v>
      </c>
      <c r="B27" s="1" t="str">
        <f>vlookup(A27,'Form responses 1'!$C$2:$C$129,1,false)</f>
        <v>Netherlands</v>
      </c>
    </row>
    <row r="28">
      <c r="A28" s="8" t="s">
        <v>146</v>
      </c>
      <c r="B28" s="1" t="str">
        <f>vlookup(A28,'Form responses 1'!$C$2:$C$129,1,false)</f>
        <v>North Macedonia</v>
      </c>
    </row>
    <row r="29">
      <c r="A29" s="8" t="s">
        <v>149</v>
      </c>
      <c r="B29" s="1" t="str">
        <f>vlookup(A29,'Form responses 1'!$C$2:$C$129,1,false)</f>
        <v>Norway</v>
      </c>
    </row>
    <row r="30">
      <c r="A30" s="8" t="s">
        <v>153</v>
      </c>
      <c r="B30" s="1" t="str">
        <f>vlookup(A30,'Form responses 1'!$C$2:$C$129,1,false)</f>
        <v>Poland</v>
      </c>
    </row>
    <row r="31">
      <c r="A31" s="8" t="s">
        <v>161</v>
      </c>
      <c r="B31" s="1" t="str">
        <f>vlookup(A31,'Form responses 1'!$C$2:$C$129,1,false)</f>
        <v>Portugal</v>
      </c>
    </row>
    <row r="32">
      <c r="A32" s="8" t="s">
        <v>169</v>
      </c>
      <c r="B32" s="1" t="str">
        <f>vlookup(A32,'Form responses 1'!$C$2:$C$129,1,false)</f>
        <v>Romania</v>
      </c>
    </row>
    <row r="33">
      <c r="A33" s="8" t="s">
        <v>192</v>
      </c>
      <c r="B33" s="1" t="str">
        <f>vlookup(A33,'Form responses 1'!$C$2:$C$129,1,false)</f>
        <v>Serbia</v>
      </c>
    </row>
    <row r="34">
      <c r="A34" s="8" t="s">
        <v>265</v>
      </c>
      <c r="B34" s="1" t="str">
        <f>vlookup(A34,'Form responses 1'!$C$2:$C$129,1,false)</f>
        <v>#N/A</v>
      </c>
    </row>
    <row r="35">
      <c r="A35" s="8" t="s">
        <v>196</v>
      </c>
      <c r="B35" s="1" t="str">
        <f>vlookup(A35,'Form responses 1'!$C$2:$C$129,1,false)</f>
        <v>Slovenia</v>
      </c>
    </row>
    <row r="36">
      <c r="A36" s="8" t="s">
        <v>202</v>
      </c>
      <c r="B36" s="1" t="str">
        <f>vlookup(A36,'Form responses 1'!$C$2:$C$129,1,false)</f>
        <v>Spain</v>
      </c>
    </row>
    <row r="37">
      <c r="A37" s="8" t="s">
        <v>266</v>
      </c>
      <c r="B37" s="1" t="str">
        <f>vlookup(A37,'Form responses 1'!$C$2:$C$129,1,false)</f>
        <v>#N/A</v>
      </c>
    </row>
    <row r="38">
      <c r="A38" s="8" t="s">
        <v>205</v>
      </c>
      <c r="B38" s="1" t="str">
        <f>vlookup(A38,'Form responses 1'!$C$2:$C$129,1,false)</f>
        <v>Switzerland</v>
      </c>
    </row>
    <row r="39">
      <c r="A39" s="8" t="s">
        <v>227</v>
      </c>
      <c r="B39" s="1" t="str">
        <f>vlookup(A39,'Form responses 1'!$C$2:$C$129,1,false)</f>
        <v>Turkey</v>
      </c>
    </row>
    <row r="40">
      <c r="A40" s="8" t="s">
        <v>236</v>
      </c>
      <c r="B40" s="1" t="str">
        <f>vlookup(A40,'Form responses 1'!$C$2:$C$129,1,false)</f>
        <v>United Kingdom</v>
      </c>
    </row>
    <row r="41">
      <c r="A41"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4" max="4" width="31.88"/>
    <col customWidth="1" min="5" max="5" width="20.75"/>
    <col customWidth="1" min="6" max="6" width="20.63"/>
    <col customWidth="1" min="9" max="9" width="35.75"/>
  </cols>
  <sheetData>
    <row r="1">
      <c r="A1" s="9" t="s">
        <v>267</v>
      </c>
      <c r="B1" s="10" t="s">
        <v>268</v>
      </c>
      <c r="C1" s="11"/>
      <c r="D1" s="12" t="s">
        <v>269</v>
      </c>
      <c r="E1" s="10" t="s">
        <v>270</v>
      </c>
      <c r="F1" s="10" t="s">
        <v>271</v>
      </c>
      <c r="G1" s="2" t="s">
        <v>270</v>
      </c>
      <c r="I1" s="2" t="s">
        <v>272</v>
      </c>
    </row>
    <row r="2">
      <c r="A2" s="13" t="s">
        <v>273</v>
      </c>
      <c r="B2" s="13" t="s">
        <v>274</v>
      </c>
      <c r="C2" s="13"/>
      <c r="D2" s="13" t="s">
        <v>275</v>
      </c>
      <c r="E2" s="13" t="s">
        <v>276</v>
      </c>
      <c r="F2" s="13" t="s">
        <v>277</v>
      </c>
      <c r="G2" s="1" t="str">
        <f>IFERROR(__xludf.DUMMYFUNCTION("split(E2,"" "")"),"Albania")</f>
        <v>Albania</v>
      </c>
      <c r="H2" s="1" t="str">
        <f>IFERROR(__xludf.DUMMYFUNCTION("""COMPUTED_VALUE"""),"(AL)")</f>
        <v>(AL)</v>
      </c>
      <c r="I2" s="1" t="str">
        <f>vlookup(G2,'All Countries'!$A$1:$B$40,2,false)</f>
        <v>Albania</v>
      </c>
    </row>
    <row r="3">
      <c r="A3" s="13" t="s">
        <v>278</v>
      </c>
      <c r="B3" s="13" t="s">
        <v>279</v>
      </c>
      <c r="C3" s="13"/>
      <c r="D3" s="13" t="s">
        <v>280</v>
      </c>
      <c r="E3" s="13" t="s">
        <v>276</v>
      </c>
      <c r="F3" s="13" t="s">
        <v>277</v>
      </c>
      <c r="G3" s="1" t="str">
        <f>IFERROR(__xludf.DUMMYFUNCTION("split(E3,"" "")"),"Albania")</f>
        <v>Albania</v>
      </c>
      <c r="H3" s="1" t="str">
        <f>IFERROR(__xludf.DUMMYFUNCTION("""COMPUTED_VALUE"""),"(AL)")</f>
        <v>(AL)</v>
      </c>
      <c r="I3" s="1" t="str">
        <f>vlookup(G3,'All Countries'!$A$1:$B$40,2,false)</f>
        <v>Albania</v>
      </c>
    </row>
    <row r="4">
      <c r="A4" s="13" t="s">
        <v>281</v>
      </c>
      <c r="B4" s="13" t="s">
        <v>282</v>
      </c>
      <c r="C4" s="13"/>
      <c r="D4" s="14" t="s">
        <v>283</v>
      </c>
      <c r="E4" s="13" t="s">
        <v>276</v>
      </c>
      <c r="F4" s="13" t="s">
        <v>277</v>
      </c>
      <c r="G4" s="1" t="str">
        <f>IFERROR(__xludf.DUMMYFUNCTION("split(E4,"" "")"),"Albania")</f>
        <v>Albania</v>
      </c>
      <c r="H4" s="1" t="str">
        <f>IFERROR(__xludf.DUMMYFUNCTION("""COMPUTED_VALUE"""),"(AL)")</f>
        <v>(AL)</v>
      </c>
      <c r="I4" s="1" t="str">
        <f>vlookup(G4,'All Countries'!$A$1:$B$40,2,false)</f>
        <v>Albania</v>
      </c>
    </row>
    <row r="5">
      <c r="A5" s="13" t="s">
        <v>284</v>
      </c>
      <c r="B5" s="13" t="s">
        <v>285</v>
      </c>
      <c r="C5" s="13"/>
      <c r="D5" s="13" t="s">
        <v>286</v>
      </c>
      <c r="E5" s="13" t="s">
        <v>276</v>
      </c>
      <c r="F5" s="13" t="s">
        <v>287</v>
      </c>
      <c r="G5" s="1" t="str">
        <f>IFERROR(__xludf.DUMMYFUNCTION("split(E5,"" "")"),"Albania")</f>
        <v>Albania</v>
      </c>
      <c r="H5" s="1" t="str">
        <f>IFERROR(__xludf.DUMMYFUNCTION("""COMPUTED_VALUE"""),"(AL)")</f>
        <v>(AL)</v>
      </c>
      <c r="I5" s="1" t="str">
        <f>vlookup(G5,'All Countries'!$A$1:$B$40,2,false)</f>
        <v>Albania</v>
      </c>
    </row>
    <row r="6">
      <c r="A6" s="13" t="s">
        <v>288</v>
      </c>
      <c r="B6" s="13" t="s">
        <v>289</v>
      </c>
      <c r="C6" s="13"/>
      <c r="D6" s="13" t="s">
        <v>290</v>
      </c>
      <c r="E6" s="13" t="s">
        <v>276</v>
      </c>
      <c r="F6" s="13" t="s">
        <v>277</v>
      </c>
      <c r="G6" s="1" t="str">
        <f>IFERROR(__xludf.DUMMYFUNCTION("split(E6,"" "")"),"Albania")</f>
        <v>Albania</v>
      </c>
      <c r="H6" s="1" t="str">
        <f>IFERROR(__xludf.DUMMYFUNCTION("""COMPUTED_VALUE"""),"(AL)")</f>
        <v>(AL)</v>
      </c>
      <c r="I6" s="1" t="str">
        <f>vlookup(G6,'All Countries'!$A$1:$B$40,2,false)</f>
        <v>Albania</v>
      </c>
    </row>
    <row r="7">
      <c r="A7" s="13" t="s">
        <v>291</v>
      </c>
      <c r="B7" s="13" t="s">
        <v>292</v>
      </c>
      <c r="C7" s="13"/>
      <c r="D7" s="13" t="s">
        <v>293</v>
      </c>
      <c r="E7" s="13" t="s">
        <v>276</v>
      </c>
      <c r="F7" s="13" t="s">
        <v>277</v>
      </c>
      <c r="G7" s="1" t="str">
        <f>IFERROR(__xludf.DUMMYFUNCTION("split(E7,"" "")"),"Albania")</f>
        <v>Albania</v>
      </c>
      <c r="H7" s="1" t="str">
        <f>IFERROR(__xludf.DUMMYFUNCTION("""COMPUTED_VALUE"""),"(AL)")</f>
        <v>(AL)</v>
      </c>
      <c r="I7" s="1" t="str">
        <f>vlookup(G7,'All Countries'!$A$1:$B$40,2,false)</f>
        <v>Albania</v>
      </c>
    </row>
    <row r="8">
      <c r="A8" s="13" t="s">
        <v>294</v>
      </c>
      <c r="B8" s="13" t="s">
        <v>295</v>
      </c>
      <c r="C8" s="13"/>
      <c r="D8" s="13" t="s">
        <v>296</v>
      </c>
      <c r="E8" s="13" t="s">
        <v>276</v>
      </c>
      <c r="F8" s="13" t="s">
        <v>287</v>
      </c>
      <c r="G8" s="1" t="str">
        <f>IFERROR(__xludf.DUMMYFUNCTION("split(E8,"" "")"),"Albania")</f>
        <v>Albania</v>
      </c>
      <c r="H8" s="1" t="str">
        <f>IFERROR(__xludf.DUMMYFUNCTION("""COMPUTED_VALUE"""),"(AL)")</f>
        <v>(AL)</v>
      </c>
      <c r="I8" s="1" t="str">
        <f>vlookup(G8,'All Countries'!$A$1:$B$40,2,false)</f>
        <v>Albania</v>
      </c>
    </row>
    <row r="9">
      <c r="A9" s="13" t="s">
        <v>297</v>
      </c>
      <c r="B9" s="13" t="s">
        <v>298</v>
      </c>
      <c r="C9" s="13"/>
      <c r="D9" s="13" t="s">
        <v>299</v>
      </c>
      <c r="E9" s="13" t="s">
        <v>276</v>
      </c>
      <c r="F9" s="13" t="s">
        <v>277</v>
      </c>
      <c r="G9" s="1" t="str">
        <f>IFERROR(__xludf.DUMMYFUNCTION("split(E9,"" "")"),"Albania")</f>
        <v>Albania</v>
      </c>
      <c r="H9" s="1" t="str">
        <f>IFERROR(__xludf.DUMMYFUNCTION("""COMPUTED_VALUE"""),"(AL)")</f>
        <v>(AL)</v>
      </c>
      <c r="I9" s="1" t="str">
        <f>vlookup(G9,'All Countries'!$A$1:$B$40,2,false)</f>
        <v>Albania</v>
      </c>
    </row>
    <row r="10">
      <c r="A10" s="13" t="s">
        <v>300</v>
      </c>
      <c r="B10" s="13" t="s">
        <v>301</v>
      </c>
      <c r="C10" s="13"/>
      <c r="D10" s="13" t="s">
        <v>302</v>
      </c>
      <c r="E10" s="13" t="s">
        <v>276</v>
      </c>
      <c r="F10" s="13" t="s">
        <v>277</v>
      </c>
      <c r="G10" s="1" t="str">
        <f>IFERROR(__xludf.DUMMYFUNCTION("split(E10,"" "")"),"Albania")</f>
        <v>Albania</v>
      </c>
      <c r="H10" s="1" t="str">
        <f>IFERROR(__xludf.DUMMYFUNCTION("""COMPUTED_VALUE"""),"(AL)")</f>
        <v>(AL)</v>
      </c>
      <c r="I10" s="1" t="str">
        <f>vlookup(G10,'All Countries'!$A$1:$B$40,2,false)</f>
        <v>Albania</v>
      </c>
    </row>
    <row r="11">
      <c r="A11" s="13" t="s">
        <v>303</v>
      </c>
      <c r="B11" s="13" t="s">
        <v>304</v>
      </c>
      <c r="C11" s="13"/>
      <c r="D11" s="13" t="s">
        <v>17</v>
      </c>
      <c r="E11" s="13" t="s">
        <v>276</v>
      </c>
      <c r="F11" s="13" t="s">
        <v>277</v>
      </c>
      <c r="G11" s="1" t="str">
        <f>IFERROR(__xludf.DUMMYFUNCTION("split(E11,"" "")"),"Albania")</f>
        <v>Albania</v>
      </c>
      <c r="H11" s="1" t="str">
        <f>IFERROR(__xludf.DUMMYFUNCTION("""COMPUTED_VALUE"""),"(AL)")</f>
        <v>(AL)</v>
      </c>
      <c r="I11" s="1" t="str">
        <f>vlookup(G11,'All Countries'!$A$1:$B$40,2,false)</f>
        <v>Albania</v>
      </c>
    </row>
    <row r="12">
      <c r="A12" s="13" t="s">
        <v>305</v>
      </c>
      <c r="B12" s="13" t="s">
        <v>306</v>
      </c>
      <c r="C12" s="13"/>
      <c r="D12" s="13" t="s">
        <v>307</v>
      </c>
      <c r="E12" s="13" t="s">
        <v>276</v>
      </c>
      <c r="F12" s="13" t="s">
        <v>277</v>
      </c>
      <c r="G12" s="1" t="str">
        <f>IFERROR(__xludf.DUMMYFUNCTION("split(E12,"" "")"),"Albania")</f>
        <v>Albania</v>
      </c>
      <c r="H12" s="1" t="str">
        <f>IFERROR(__xludf.DUMMYFUNCTION("""COMPUTED_VALUE"""),"(AL)")</f>
        <v>(AL)</v>
      </c>
      <c r="I12" s="1" t="str">
        <f>vlookup(G12,'All Countries'!$A$1:$B$40,2,false)</f>
        <v>Albania</v>
      </c>
    </row>
    <row r="13">
      <c r="A13" s="13" t="s">
        <v>308</v>
      </c>
      <c r="B13" s="13" t="s">
        <v>309</v>
      </c>
      <c r="C13" s="13"/>
      <c r="D13" s="13" t="s">
        <v>310</v>
      </c>
      <c r="E13" s="13" t="s">
        <v>276</v>
      </c>
      <c r="F13" s="13" t="s">
        <v>277</v>
      </c>
      <c r="G13" s="1" t="str">
        <f>IFERROR(__xludf.DUMMYFUNCTION("split(E13,"" "")"),"Albania")</f>
        <v>Albania</v>
      </c>
      <c r="H13" s="1" t="str">
        <f>IFERROR(__xludf.DUMMYFUNCTION("""COMPUTED_VALUE"""),"(AL)")</f>
        <v>(AL)</v>
      </c>
      <c r="I13" s="1" t="str">
        <f>vlookup(G13,'All Countries'!$A$1:$B$40,2,false)</f>
        <v>Albania</v>
      </c>
    </row>
    <row r="14">
      <c r="A14" s="13" t="s">
        <v>311</v>
      </c>
      <c r="B14" s="13" t="s">
        <v>312</v>
      </c>
      <c r="C14" s="13"/>
      <c r="D14" s="13" t="s">
        <v>27</v>
      </c>
      <c r="E14" s="13" t="s">
        <v>313</v>
      </c>
      <c r="F14" s="13" t="s">
        <v>277</v>
      </c>
      <c r="G14" s="1" t="str">
        <f>IFERROR(__xludf.DUMMYFUNCTION("split(E14,"" "")"),"Algeria")</f>
        <v>Algeria</v>
      </c>
      <c r="H14" s="1" t="str">
        <f>IFERROR(__xludf.DUMMYFUNCTION("""COMPUTED_VALUE"""),"(DZ)")</f>
        <v>(DZ)</v>
      </c>
      <c r="I14" s="1" t="str">
        <f>vlookup(G14,'All Countries'!$A$1:$B$40,2,false)</f>
        <v>#N/A</v>
      </c>
    </row>
    <row r="15">
      <c r="A15" s="13" t="s">
        <v>314</v>
      </c>
      <c r="B15" s="13" t="s">
        <v>315</v>
      </c>
      <c r="C15" s="13"/>
      <c r="D15" s="13" t="s">
        <v>32</v>
      </c>
      <c r="E15" s="13" t="s">
        <v>316</v>
      </c>
      <c r="F15" s="13" t="s">
        <v>287</v>
      </c>
      <c r="G15" s="1" t="str">
        <f>IFERROR(__xludf.DUMMYFUNCTION("split(E15,"" "")"),"Austria")</f>
        <v>Austria</v>
      </c>
      <c r="H15" s="1" t="str">
        <f>IFERROR(__xludf.DUMMYFUNCTION("""COMPUTED_VALUE"""),"(AT)")</f>
        <v>(AT)</v>
      </c>
      <c r="I15" s="1" t="str">
        <f>vlookup(G15,'All Countries'!$A$1:$B$40,2,false)</f>
        <v>Austria</v>
      </c>
    </row>
    <row r="16">
      <c r="A16" s="13" t="s">
        <v>317</v>
      </c>
      <c r="B16" s="13" t="s">
        <v>318</v>
      </c>
      <c r="C16" s="13"/>
      <c r="D16" s="15" t="s">
        <v>319</v>
      </c>
      <c r="E16" s="13" t="s">
        <v>316</v>
      </c>
      <c r="F16" s="13" t="s">
        <v>287</v>
      </c>
      <c r="G16" s="1" t="str">
        <f>IFERROR(__xludf.DUMMYFUNCTION("split(E16,"" "")"),"Austria")</f>
        <v>Austria</v>
      </c>
      <c r="H16" s="1" t="str">
        <f>IFERROR(__xludf.DUMMYFUNCTION("""COMPUTED_VALUE"""),"(AT)")</f>
        <v>(AT)</v>
      </c>
      <c r="I16" s="1" t="str">
        <f>vlookup(G16,'All Countries'!$A$1:$B$40,2,false)</f>
        <v>Austria</v>
      </c>
    </row>
    <row r="17">
      <c r="A17" s="13" t="s">
        <v>317</v>
      </c>
      <c r="B17" s="13" t="s">
        <v>320</v>
      </c>
      <c r="C17" s="13"/>
      <c r="D17" s="13" t="s">
        <v>321</v>
      </c>
      <c r="E17" s="13" t="s">
        <v>322</v>
      </c>
      <c r="F17" s="13" t="s">
        <v>287</v>
      </c>
      <c r="G17" s="1" t="str">
        <f>IFERROR(__xludf.DUMMYFUNCTION("split(E17,"" "")"),"Belgium")</f>
        <v>Belgium</v>
      </c>
      <c r="H17" s="1" t="str">
        <f>IFERROR(__xludf.DUMMYFUNCTION("""COMPUTED_VALUE"""),"(BE)")</f>
        <v>(BE)</v>
      </c>
      <c r="I17" s="1" t="str">
        <f>vlookup(G17,'All Countries'!$A$1:$B$40,2,false)</f>
        <v>#N/A</v>
      </c>
    </row>
    <row r="18">
      <c r="A18" s="13" t="s">
        <v>323</v>
      </c>
      <c r="B18" s="13" t="s">
        <v>324</v>
      </c>
      <c r="C18" s="13"/>
      <c r="D18" s="13" t="s">
        <v>325</v>
      </c>
      <c r="E18" s="13" t="s">
        <v>326</v>
      </c>
      <c r="F18" s="13" t="s">
        <v>287</v>
      </c>
      <c r="G18" s="8" t="s">
        <v>256</v>
      </c>
      <c r="I18" s="1" t="str">
        <f>vlookup(G18,'All Countries'!$A$1:$B$40,2,false)</f>
        <v>#N/A</v>
      </c>
    </row>
    <row r="19">
      <c r="A19" s="13" t="s">
        <v>327</v>
      </c>
      <c r="B19" s="14" t="s">
        <v>328</v>
      </c>
      <c r="C19" s="13"/>
      <c r="D19" s="13" t="s">
        <v>329</v>
      </c>
      <c r="E19" s="13" t="s">
        <v>326</v>
      </c>
      <c r="F19" s="13" t="s">
        <v>287</v>
      </c>
      <c r="G19" s="8" t="s">
        <v>256</v>
      </c>
      <c r="I19" s="1" t="str">
        <f>vlookup(G19,'All Countries'!$A$1:$B$40,2,false)</f>
        <v>#N/A</v>
      </c>
    </row>
    <row r="20">
      <c r="A20" s="13" t="s">
        <v>330</v>
      </c>
      <c r="B20" s="13" t="s">
        <v>331</v>
      </c>
      <c r="C20" s="13"/>
      <c r="D20" s="13" t="s">
        <v>332</v>
      </c>
      <c r="E20" s="13" t="s">
        <v>333</v>
      </c>
      <c r="F20" s="13" t="s">
        <v>277</v>
      </c>
      <c r="G20" s="1" t="str">
        <f>IFERROR(__xludf.DUMMYFUNCTION("split(E20,"" "")"),"Bulgaria")</f>
        <v>Bulgaria</v>
      </c>
      <c r="H20" s="1" t="str">
        <f>IFERROR(__xludf.DUMMYFUNCTION("""COMPUTED_VALUE"""),"(BG)")</f>
        <v>(BG)</v>
      </c>
      <c r="I20" s="1" t="str">
        <f>vlookup(G20,'All Countries'!$A$1:$B$40,2,false)</f>
        <v>#N/A</v>
      </c>
    </row>
    <row r="21">
      <c r="A21" s="13" t="s">
        <v>334</v>
      </c>
      <c r="B21" s="13" t="s">
        <v>335</v>
      </c>
      <c r="C21" s="13"/>
      <c r="D21" s="13" t="s">
        <v>336</v>
      </c>
      <c r="E21" s="13" t="s">
        <v>333</v>
      </c>
      <c r="F21" s="13" t="s">
        <v>287</v>
      </c>
      <c r="G21" s="1" t="str">
        <f>IFERROR(__xludf.DUMMYFUNCTION("split(E21,"" "")"),"Bulgaria")</f>
        <v>Bulgaria</v>
      </c>
      <c r="H21" s="1" t="str">
        <f>IFERROR(__xludf.DUMMYFUNCTION("""COMPUTED_VALUE"""),"(BG)")</f>
        <v>(BG)</v>
      </c>
      <c r="I21" s="1" t="str">
        <f>vlookup(G21,'All Countries'!$A$1:$B$40,2,false)</f>
        <v>#N/A</v>
      </c>
    </row>
    <row r="22">
      <c r="A22" s="13" t="s">
        <v>337</v>
      </c>
      <c r="B22" s="13" t="s">
        <v>338</v>
      </c>
      <c r="C22" s="13"/>
      <c r="D22" s="13" t="s">
        <v>339</v>
      </c>
      <c r="E22" s="13" t="s">
        <v>333</v>
      </c>
      <c r="F22" s="13" t="s">
        <v>287</v>
      </c>
      <c r="G22" s="1" t="str">
        <f>IFERROR(__xludf.DUMMYFUNCTION("split(E22,"" "")"),"Bulgaria")</f>
        <v>Bulgaria</v>
      </c>
      <c r="H22" s="1" t="str">
        <f>IFERROR(__xludf.DUMMYFUNCTION("""COMPUTED_VALUE"""),"(BG)")</f>
        <v>(BG)</v>
      </c>
      <c r="I22" s="2" t="s">
        <v>257</v>
      </c>
    </row>
    <row r="23">
      <c r="A23" s="16" t="s">
        <v>340</v>
      </c>
      <c r="B23" s="16" t="s">
        <v>341</v>
      </c>
      <c r="C23" s="13"/>
      <c r="D23" s="16" t="s">
        <v>342</v>
      </c>
      <c r="E23" s="13" t="s">
        <v>333</v>
      </c>
      <c r="F23" s="13" t="s">
        <v>277</v>
      </c>
      <c r="G23" s="1" t="str">
        <f>IFERROR(__xludf.DUMMYFUNCTION("split(E23,"" "")"),"Bulgaria")</f>
        <v>Bulgaria</v>
      </c>
      <c r="H23" s="1" t="str">
        <f>IFERROR(__xludf.DUMMYFUNCTION("""COMPUTED_VALUE"""),"(BG)")</f>
        <v>(BG)</v>
      </c>
    </row>
    <row r="24">
      <c r="A24" s="13" t="s">
        <v>343</v>
      </c>
      <c r="B24" s="14" t="s">
        <v>344</v>
      </c>
      <c r="C24" s="13"/>
      <c r="D24" s="13" t="s">
        <v>345</v>
      </c>
      <c r="E24" s="13" t="s">
        <v>346</v>
      </c>
      <c r="F24" s="13" t="s">
        <v>277</v>
      </c>
      <c r="G24" s="1" t="str">
        <f>IFERROR(__xludf.DUMMYFUNCTION("split(E24,"" "")"),"Croatia")</f>
        <v>Croatia</v>
      </c>
      <c r="H24" s="1" t="str">
        <f>IFERROR(__xludf.DUMMYFUNCTION("""COMPUTED_VALUE"""),"(HR)")</f>
        <v>(HR)</v>
      </c>
      <c r="I24" s="1" t="str">
        <f>vlookup(G24,'All Countries'!$A$1:$B$40,2,false)</f>
        <v>Croatia</v>
      </c>
    </row>
    <row r="25">
      <c r="A25" s="13" t="s">
        <v>347</v>
      </c>
      <c r="B25" s="14" t="s">
        <v>348</v>
      </c>
      <c r="C25" s="13"/>
      <c r="D25" s="13" t="s">
        <v>349</v>
      </c>
      <c r="E25" s="13" t="s">
        <v>346</v>
      </c>
      <c r="F25" s="13" t="s">
        <v>287</v>
      </c>
      <c r="G25" s="1" t="str">
        <f>IFERROR(__xludf.DUMMYFUNCTION("split(E25,"" "")"),"Croatia")</f>
        <v>Croatia</v>
      </c>
      <c r="H25" s="1" t="str">
        <f>IFERROR(__xludf.DUMMYFUNCTION("""COMPUTED_VALUE"""),"(HR)")</f>
        <v>(HR)</v>
      </c>
      <c r="I25" s="1" t="str">
        <f>vlookup(G25,'All Countries'!$A$1:$B$40,2,false)</f>
        <v>Croatia</v>
      </c>
    </row>
    <row r="26">
      <c r="A26" s="13" t="s">
        <v>350</v>
      </c>
      <c r="B26" s="13" t="s">
        <v>351</v>
      </c>
      <c r="C26" s="13"/>
      <c r="D26" s="13" t="s">
        <v>352</v>
      </c>
      <c r="E26" s="13" t="s">
        <v>346</v>
      </c>
      <c r="F26" s="13" t="s">
        <v>277</v>
      </c>
      <c r="G26" s="1" t="str">
        <f>IFERROR(__xludf.DUMMYFUNCTION("split(E26,"" "")"),"Croatia")</f>
        <v>Croatia</v>
      </c>
      <c r="H26" s="1" t="str">
        <f>IFERROR(__xludf.DUMMYFUNCTION("""COMPUTED_VALUE"""),"(HR)")</f>
        <v>(HR)</v>
      </c>
      <c r="I26" s="1" t="str">
        <f>vlookup(G26,'All Countries'!$A$1:$B$40,2,false)</f>
        <v>Croatia</v>
      </c>
    </row>
    <row r="27">
      <c r="A27" s="13" t="s">
        <v>353</v>
      </c>
      <c r="B27" s="15" t="s">
        <v>354</v>
      </c>
      <c r="C27" s="13"/>
      <c r="D27" s="13" t="s">
        <v>355</v>
      </c>
      <c r="E27" s="13" t="s">
        <v>346</v>
      </c>
      <c r="F27" s="13" t="s">
        <v>287</v>
      </c>
      <c r="G27" s="1" t="str">
        <f>IFERROR(__xludf.DUMMYFUNCTION("split(E27,"" "")"),"Croatia")</f>
        <v>Croatia</v>
      </c>
      <c r="H27" s="1" t="str">
        <f>IFERROR(__xludf.DUMMYFUNCTION("""COMPUTED_VALUE"""),"(HR)")</f>
        <v>(HR)</v>
      </c>
      <c r="I27" s="1" t="str">
        <f>vlookup(G27,'All Countries'!$A$1:$B$40,2,false)</f>
        <v>Croatia</v>
      </c>
    </row>
    <row r="28">
      <c r="A28" s="13" t="s">
        <v>356</v>
      </c>
      <c r="B28" s="13" t="s">
        <v>357</v>
      </c>
      <c r="C28" s="13"/>
      <c r="D28" s="13" t="s">
        <v>358</v>
      </c>
      <c r="E28" s="13" t="s">
        <v>346</v>
      </c>
      <c r="F28" s="13" t="s">
        <v>277</v>
      </c>
      <c r="G28" s="1" t="str">
        <f>IFERROR(__xludf.DUMMYFUNCTION("split(E28,"" "")"),"Croatia")</f>
        <v>Croatia</v>
      </c>
      <c r="H28" s="1" t="str">
        <f>IFERROR(__xludf.DUMMYFUNCTION("""COMPUTED_VALUE"""),"(HR)")</f>
        <v>(HR)</v>
      </c>
      <c r="I28" s="1" t="str">
        <f>vlookup(G28,'All Countries'!$A$1:$B$40,2,false)</f>
        <v>Croatia</v>
      </c>
    </row>
    <row r="29">
      <c r="A29" s="13" t="s">
        <v>359</v>
      </c>
      <c r="B29" s="13" t="s">
        <v>360</v>
      </c>
      <c r="C29" s="13"/>
      <c r="D29" s="13" t="s">
        <v>361</v>
      </c>
      <c r="E29" s="13" t="s">
        <v>346</v>
      </c>
      <c r="F29" s="13" t="s">
        <v>277</v>
      </c>
      <c r="G29" s="1" t="str">
        <f>IFERROR(__xludf.DUMMYFUNCTION("split(E29,"" "")"),"Croatia")</f>
        <v>Croatia</v>
      </c>
      <c r="H29" s="1" t="str">
        <f>IFERROR(__xludf.DUMMYFUNCTION("""COMPUTED_VALUE"""),"(HR)")</f>
        <v>(HR)</v>
      </c>
      <c r="I29" s="1" t="str">
        <f>vlookup(G29,'All Countries'!$A$1:$B$40,2,false)</f>
        <v>Croatia</v>
      </c>
    </row>
    <row r="30">
      <c r="A30" s="13" t="s">
        <v>362</v>
      </c>
      <c r="B30" s="13" t="s">
        <v>363</v>
      </c>
      <c r="C30" s="13"/>
      <c r="D30" s="13" t="s">
        <v>364</v>
      </c>
      <c r="E30" s="13" t="s">
        <v>365</v>
      </c>
      <c r="F30" s="13" t="s">
        <v>287</v>
      </c>
      <c r="G30" s="1" t="str">
        <f>IFERROR(__xludf.DUMMYFUNCTION("split(E30,"" "")"),"Cyprus")</f>
        <v>Cyprus</v>
      </c>
      <c r="H30" s="1" t="str">
        <f>IFERROR(__xludf.DUMMYFUNCTION("""COMPUTED_VALUE"""),"(CY)")</f>
        <v>(CY)</v>
      </c>
      <c r="I30" s="1" t="str">
        <f>vlookup(G30,'All Countries'!$A$1:$B$40,2,false)</f>
        <v>Cyprus</v>
      </c>
    </row>
    <row r="31">
      <c r="A31" s="13" t="s">
        <v>366</v>
      </c>
      <c r="B31" s="13" t="s">
        <v>367</v>
      </c>
      <c r="C31" s="13"/>
      <c r="D31" s="13" t="s">
        <v>368</v>
      </c>
      <c r="E31" s="13" t="s">
        <v>365</v>
      </c>
      <c r="F31" s="13" t="s">
        <v>277</v>
      </c>
      <c r="G31" s="1" t="str">
        <f>IFERROR(__xludf.DUMMYFUNCTION("split(E31,"" "")"),"Cyprus")</f>
        <v>Cyprus</v>
      </c>
      <c r="H31" s="1" t="str">
        <f>IFERROR(__xludf.DUMMYFUNCTION("""COMPUTED_VALUE"""),"(CY)")</f>
        <v>(CY)</v>
      </c>
      <c r="I31" s="1" t="str">
        <f>vlookup(G31,'All Countries'!$A$1:$B$40,2,false)</f>
        <v>Cyprus</v>
      </c>
    </row>
    <row r="32">
      <c r="A32" s="13" t="s">
        <v>369</v>
      </c>
      <c r="B32" s="13" t="s">
        <v>370</v>
      </c>
      <c r="C32" s="13"/>
      <c r="D32" s="13" t="s">
        <v>44</v>
      </c>
      <c r="E32" s="13" t="s">
        <v>365</v>
      </c>
      <c r="F32" s="13" t="s">
        <v>287</v>
      </c>
      <c r="G32" s="1" t="str">
        <f>IFERROR(__xludf.DUMMYFUNCTION("split(E32,"" "")"),"Cyprus")</f>
        <v>Cyprus</v>
      </c>
      <c r="H32" s="1" t="str">
        <f>IFERROR(__xludf.DUMMYFUNCTION("""COMPUTED_VALUE"""),"(CY)")</f>
        <v>(CY)</v>
      </c>
      <c r="I32" s="1" t="str">
        <f>vlookup(G32,'All Countries'!$A$1:$B$40,2,false)</f>
        <v>Cyprus</v>
      </c>
    </row>
    <row r="33">
      <c r="A33" s="13" t="s">
        <v>371</v>
      </c>
      <c r="B33" s="13" t="s">
        <v>372</v>
      </c>
      <c r="C33" s="13"/>
      <c r="D33" s="13" t="s">
        <v>373</v>
      </c>
      <c r="E33" s="13" t="s">
        <v>374</v>
      </c>
      <c r="F33" s="13" t="s">
        <v>287</v>
      </c>
      <c r="G33" s="6" t="s">
        <v>48</v>
      </c>
      <c r="I33" s="1" t="str">
        <f>vlookup(G33,'All Countries'!$A$1:$B$40,2,false)</f>
        <v>Czech Republic</v>
      </c>
    </row>
    <row r="34">
      <c r="A34" s="13" t="s">
        <v>375</v>
      </c>
      <c r="B34" s="15" t="s">
        <v>376</v>
      </c>
      <c r="C34" s="13"/>
      <c r="D34" s="13" t="s">
        <v>377</v>
      </c>
      <c r="E34" s="13" t="s">
        <v>374</v>
      </c>
      <c r="F34" s="13" t="s">
        <v>287</v>
      </c>
      <c r="G34" s="6" t="s">
        <v>48</v>
      </c>
      <c r="I34" s="1" t="str">
        <f>vlookup(G34,'All Countries'!$A$1:$B$40,2,false)</f>
        <v>Czech Republic</v>
      </c>
    </row>
    <row r="35">
      <c r="A35" s="13" t="s">
        <v>378</v>
      </c>
      <c r="B35" s="13" t="s">
        <v>379</v>
      </c>
      <c r="C35" s="13"/>
      <c r="D35" s="13" t="s">
        <v>47</v>
      </c>
      <c r="E35" s="13" t="s">
        <v>374</v>
      </c>
      <c r="F35" s="13" t="s">
        <v>277</v>
      </c>
      <c r="G35" s="6" t="s">
        <v>48</v>
      </c>
      <c r="I35" s="1" t="str">
        <f>vlookup(G35,'All Countries'!$A$1:$B$40,2,false)</f>
        <v>Czech Republic</v>
      </c>
    </row>
    <row r="36">
      <c r="A36" s="13" t="s">
        <v>380</v>
      </c>
      <c r="B36" s="13" t="s">
        <v>381</v>
      </c>
      <c r="C36" s="13"/>
      <c r="D36" s="13" t="s">
        <v>382</v>
      </c>
      <c r="E36" s="13" t="s">
        <v>374</v>
      </c>
      <c r="F36" s="13" t="s">
        <v>277</v>
      </c>
      <c r="G36" s="6" t="s">
        <v>48</v>
      </c>
      <c r="I36" s="1" t="str">
        <f>vlookup(G36,'All Countries'!$A$1:$B$40,2,false)</f>
        <v>Czech Republic</v>
      </c>
    </row>
    <row r="37">
      <c r="A37" s="13" t="s">
        <v>383</v>
      </c>
      <c r="B37" s="13" t="s">
        <v>384</v>
      </c>
      <c r="C37" s="13"/>
      <c r="D37" s="13" t="s">
        <v>385</v>
      </c>
      <c r="E37" s="13" t="s">
        <v>374</v>
      </c>
      <c r="F37" s="13" t="s">
        <v>277</v>
      </c>
      <c r="G37" s="6" t="s">
        <v>48</v>
      </c>
      <c r="I37" s="1" t="str">
        <f>vlookup(G37,'All Countries'!$A$1:$B$40,2,false)</f>
        <v>Czech Republic</v>
      </c>
    </row>
    <row r="38">
      <c r="A38" s="13" t="s">
        <v>386</v>
      </c>
      <c r="B38" s="15" t="s">
        <v>387</v>
      </c>
      <c r="C38" s="13"/>
      <c r="D38" s="13" t="s">
        <v>388</v>
      </c>
      <c r="E38" s="13" t="s">
        <v>389</v>
      </c>
      <c r="F38" s="13" t="s">
        <v>287</v>
      </c>
      <c r="G38" s="1" t="str">
        <f>IFERROR(__xludf.DUMMYFUNCTION("split(E38,"" "")"),"Denmark")</f>
        <v>Denmark</v>
      </c>
      <c r="H38" s="1" t="str">
        <f>IFERROR(__xludf.DUMMYFUNCTION("""COMPUTED_VALUE"""),"(DK)")</f>
        <v>(DK)</v>
      </c>
      <c r="I38" s="1" t="str">
        <f>vlookup(G38,'All Countries'!$A$1:$B$40,2,false)</f>
        <v>#N/A</v>
      </c>
    </row>
    <row r="39">
      <c r="A39" s="13" t="s">
        <v>390</v>
      </c>
      <c r="B39" s="13" t="s">
        <v>391</v>
      </c>
      <c r="C39" s="13"/>
      <c r="D39" s="13" t="s">
        <v>392</v>
      </c>
      <c r="E39" s="13" t="s">
        <v>389</v>
      </c>
      <c r="F39" s="13" t="s">
        <v>287</v>
      </c>
      <c r="G39" s="1" t="str">
        <f>IFERROR(__xludf.DUMMYFUNCTION("split(E39,"" "")"),"Denmark")</f>
        <v>Denmark</v>
      </c>
      <c r="H39" s="1" t="str">
        <f>IFERROR(__xludf.DUMMYFUNCTION("""COMPUTED_VALUE"""),"(DK)")</f>
        <v>(DK)</v>
      </c>
      <c r="I39" s="1" t="str">
        <f>vlookup(G39,'All Countries'!$A$1:$B$40,2,false)</f>
        <v>#N/A</v>
      </c>
    </row>
    <row r="40">
      <c r="A40" s="13" t="s">
        <v>393</v>
      </c>
      <c r="B40" s="13" t="s">
        <v>394</v>
      </c>
      <c r="C40" s="13"/>
      <c r="D40" s="13" t="s">
        <v>395</v>
      </c>
      <c r="E40" s="13" t="s">
        <v>396</v>
      </c>
      <c r="F40" s="13" t="s">
        <v>287</v>
      </c>
      <c r="G40" s="1" t="str">
        <f>IFERROR(__xludf.DUMMYFUNCTION("split(E40,"" "")"),"Estonia")</f>
        <v>Estonia</v>
      </c>
      <c r="H40" s="1" t="str">
        <f>IFERROR(__xludf.DUMMYFUNCTION("""COMPUTED_VALUE"""),"(EE)")</f>
        <v>(EE)</v>
      </c>
      <c r="I40" s="1" t="str">
        <f>vlookup(G40,'All Countries'!$A$1:$B$40,2,false)</f>
        <v>Estonia</v>
      </c>
    </row>
    <row r="41">
      <c r="A41" s="13" t="s">
        <v>397</v>
      </c>
      <c r="B41" s="13" t="s">
        <v>398</v>
      </c>
      <c r="C41" s="13"/>
      <c r="D41" s="13" t="s">
        <v>399</v>
      </c>
      <c r="E41" s="13" t="s">
        <v>396</v>
      </c>
      <c r="F41" s="13" t="s">
        <v>277</v>
      </c>
      <c r="G41" s="1" t="str">
        <f>IFERROR(__xludf.DUMMYFUNCTION("split(E41,"" "")"),"Estonia")</f>
        <v>Estonia</v>
      </c>
      <c r="H41" s="1" t="str">
        <f>IFERROR(__xludf.DUMMYFUNCTION("""COMPUTED_VALUE"""),"(EE)")</f>
        <v>(EE)</v>
      </c>
      <c r="I41" s="1" t="str">
        <f>vlookup(G41,'All Countries'!$A$1:$B$40,2,false)</f>
        <v>Estonia</v>
      </c>
    </row>
    <row r="42">
      <c r="A42" s="13" t="s">
        <v>400</v>
      </c>
      <c r="B42" s="13" t="s">
        <v>401</v>
      </c>
      <c r="C42" s="13"/>
      <c r="D42" s="13" t="s">
        <v>53</v>
      </c>
      <c r="E42" s="13" t="s">
        <v>396</v>
      </c>
      <c r="F42" s="13" t="s">
        <v>277</v>
      </c>
      <c r="G42" s="1" t="str">
        <f>IFERROR(__xludf.DUMMYFUNCTION("split(E42,"" "")"),"Estonia")</f>
        <v>Estonia</v>
      </c>
      <c r="H42" s="1" t="str">
        <f>IFERROR(__xludf.DUMMYFUNCTION("""COMPUTED_VALUE"""),"(EE)")</f>
        <v>(EE)</v>
      </c>
      <c r="I42" s="1" t="str">
        <f>vlookup(G42,'All Countries'!$A$1:$B$40,2,false)</f>
        <v>Estonia</v>
      </c>
    </row>
    <row r="43">
      <c r="A43" s="13" t="s">
        <v>402</v>
      </c>
      <c r="B43" s="13" t="s">
        <v>403</v>
      </c>
      <c r="C43" s="13"/>
      <c r="D43" s="13" t="s">
        <v>404</v>
      </c>
      <c r="E43" s="13" t="s">
        <v>396</v>
      </c>
      <c r="F43" s="13" t="s">
        <v>287</v>
      </c>
      <c r="G43" s="1" t="str">
        <f>IFERROR(__xludf.DUMMYFUNCTION("split(E43,"" "")"),"Estonia")</f>
        <v>Estonia</v>
      </c>
      <c r="H43" s="1" t="str">
        <f>IFERROR(__xludf.DUMMYFUNCTION("""COMPUTED_VALUE"""),"(EE)")</f>
        <v>(EE)</v>
      </c>
      <c r="I43" s="1" t="str">
        <f>vlookup(G43,'All Countries'!$A$1:$B$40,2,false)</f>
        <v>Estonia</v>
      </c>
    </row>
    <row r="44">
      <c r="A44" s="13" t="s">
        <v>405</v>
      </c>
      <c r="B44" s="13" t="s">
        <v>406</v>
      </c>
      <c r="C44" s="13"/>
      <c r="D44" s="13" t="s">
        <v>407</v>
      </c>
      <c r="E44" s="13" t="s">
        <v>408</v>
      </c>
      <c r="F44" s="13" t="s">
        <v>277</v>
      </c>
      <c r="G44" s="1" t="str">
        <f>IFERROR(__xludf.DUMMYFUNCTION("split(E44,"" "")"),"Finland")</f>
        <v>Finland</v>
      </c>
      <c r="H44" s="1" t="str">
        <f>IFERROR(__xludf.DUMMYFUNCTION("""COMPUTED_VALUE"""),"(FI)")</f>
        <v>(FI)</v>
      </c>
      <c r="I44" s="1" t="str">
        <f>vlookup(G44,'All Countries'!$A$1:$B$40,2,false)</f>
        <v>#N/A</v>
      </c>
    </row>
    <row r="45">
      <c r="A45" s="13" t="s">
        <v>409</v>
      </c>
      <c r="B45" s="13" t="s">
        <v>410</v>
      </c>
      <c r="C45" s="13"/>
      <c r="D45" s="13" t="s">
        <v>411</v>
      </c>
      <c r="E45" s="13" t="s">
        <v>412</v>
      </c>
      <c r="F45" s="13" t="s">
        <v>287</v>
      </c>
      <c r="G45" s="1" t="str">
        <f>IFERROR(__xludf.DUMMYFUNCTION("split(E45,"" "")"),"France")</f>
        <v>France</v>
      </c>
      <c r="H45" s="1" t="str">
        <f>IFERROR(__xludf.DUMMYFUNCTION("""COMPUTED_VALUE"""),"(FR)")</f>
        <v>(FR)</v>
      </c>
      <c r="I45" s="1" t="str">
        <f>vlookup(G45,'All Countries'!$A$1:$B$40,2,false)</f>
        <v>France</v>
      </c>
    </row>
    <row r="46">
      <c r="A46" s="13" t="s">
        <v>413</v>
      </c>
      <c r="B46" s="13" t="s">
        <v>414</v>
      </c>
      <c r="C46" s="13"/>
      <c r="D46" s="13" t="s">
        <v>415</v>
      </c>
      <c r="E46" s="13" t="s">
        <v>412</v>
      </c>
      <c r="F46" s="13" t="s">
        <v>287</v>
      </c>
      <c r="G46" s="1" t="str">
        <f>IFERROR(__xludf.DUMMYFUNCTION("split(E46,"" "")"),"France")</f>
        <v>France</v>
      </c>
      <c r="H46" s="1" t="str">
        <f>IFERROR(__xludf.DUMMYFUNCTION("""COMPUTED_VALUE"""),"(FR)")</f>
        <v>(FR)</v>
      </c>
      <c r="I46" s="1" t="str">
        <f>vlookup(G46,'All Countries'!$A$1:$B$40,2,false)</f>
        <v>France</v>
      </c>
    </row>
    <row r="47">
      <c r="A47" s="13" t="s">
        <v>416</v>
      </c>
      <c r="B47" s="13" t="s">
        <v>417</v>
      </c>
      <c r="C47" s="13"/>
      <c r="D47" s="13" t="s">
        <v>59</v>
      </c>
      <c r="E47" s="13" t="s">
        <v>412</v>
      </c>
      <c r="F47" s="13" t="s">
        <v>277</v>
      </c>
      <c r="G47" s="1" t="str">
        <f>IFERROR(__xludf.DUMMYFUNCTION("split(E47,"" "")"),"France")</f>
        <v>France</v>
      </c>
      <c r="H47" s="1" t="str">
        <f>IFERROR(__xludf.DUMMYFUNCTION("""COMPUTED_VALUE"""),"(FR)")</f>
        <v>(FR)</v>
      </c>
      <c r="I47" s="1" t="str">
        <f>vlookup(G47,'All Countries'!$A$1:$B$40,2,false)</f>
        <v>France</v>
      </c>
    </row>
    <row r="48">
      <c r="A48" s="13" t="s">
        <v>418</v>
      </c>
      <c r="B48" s="13" t="s">
        <v>419</v>
      </c>
      <c r="C48" s="13"/>
      <c r="D48" s="13" t="s">
        <v>420</v>
      </c>
      <c r="E48" s="13" t="s">
        <v>412</v>
      </c>
      <c r="F48" s="13" t="s">
        <v>277</v>
      </c>
      <c r="G48" s="1" t="str">
        <f>IFERROR(__xludf.DUMMYFUNCTION("split(E48,"" "")"),"France")</f>
        <v>France</v>
      </c>
      <c r="H48" s="1" t="str">
        <f>IFERROR(__xludf.DUMMYFUNCTION("""COMPUTED_VALUE"""),"(FR)")</f>
        <v>(FR)</v>
      </c>
      <c r="I48" s="1" t="str">
        <f>vlookup(G48,'All Countries'!$A$1:$B$40,2,false)</f>
        <v>France</v>
      </c>
    </row>
    <row r="49">
      <c r="A49" s="13" t="s">
        <v>421</v>
      </c>
      <c r="B49" s="13" t="s">
        <v>422</v>
      </c>
      <c r="C49" s="13"/>
      <c r="D49" s="13" t="s">
        <v>423</v>
      </c>
      <c r="E49" s="13" t="s">
        <v>412</v>
      </c>
      <c r="F49" s="13" t="s">
        <v>277</v>
      </c>
      <c r="G49" s="1" t="str">
        <f>IFERROR(__xludf.DUMMYFUNCTION("split(E49,"" "")"),"France")</f>
        <v>France</v>
      </c>
      <c r="H49" s="1" t="str">
        <f>IFERROR(__xludf.DUMMYFUNCTION("""COMPUTED_VALUE"""),"(FR)")</f>
        <v>(FR)</v>
      </c>
      <c r="I49" s="1" t="str">
        <f>vlookup(G49,'All Countries'!$A$1:$B$40,2,false)</f>
        <v>France</v>
      </c>
    </row>
    <row r="50">
      <c r="A50" s="13" t="s">
        <v>424</v>
      </c>
      <c r="B50" s="13" t="s">
        <v>425</v>
      </c>
      <c r="C50" s="13"/>
      <c r="D50" s="13" t="s">
        <v>426</v>
      </c>
      <c r="E50" s="13" t="s">
        <v>412</v>
      </c>
      <c r="F50" s="13" t="s">
        <v>277</v>
      </c>
      <c r="G50" s="1" t="str">
        <f>IFERROR(__xludf.DUMMYFUNCTION("split(E50,"" "")"),"France")</f>
        <v>France</v>
      </c>
      <c r="H50" s="1" t="str">
        <f>IFERROR(__xludf.DUMMYFUNCTION("""COMPUTED_VALUE"""),"(FR)")</f>
        <v>(FR)</v>
      </c>
      <c r="I50" s="1" t="str">
        <f>vlookup(G50,'All Countries'!$A$1:$B$40,2,false)</f>
        <v>France</v>
      </c>
    </row>
    <row r="51">
      <c r="A51" s="13" t="s">
        <v>427</v>
      </c>
      <c r="B51" s="13" t="s">
        <v>428</v>
      </c>
      <c r="C51" s="13"/>
      <c r="D51" s="13" t="s">
        <v>429</v>
      </c>
      <c r="E51" s="13" t="s">
        <v>412</v>
      </c>
      <c r="F51" s="13" t="s">
        <v>277</v>
      </c>
      <c r="G51" s="1" t="str">
        <f>IFERROR(__xludf.DUMMYFUNCTION("split(E51,"" "")"),"France")</f>
        <v>France</v>
      </c>
      <c r="H51" s="1" t="str">
        <f>IFERROR(__xludf.DUMMYFUNCTION("""COMPUTED_VALUE"""),"(FR)")</f>
        <v>(FR)</v>
      </c>
      <c r="I51" s="1" t="str">
        <f>vlookup(G51,'All Countries'!$A$1:$B$40,2,false)</f>
        <v>France</v>
      </c>
    </row>
    <row r="52">
      <c r="A52" s="13" t="s">
        <v>430</v>
      </c>
      <c r="B52" s="13" t="s">
        <v>431</v>
      </c>
      <c r="C52" s="13"/>
      <c r="D52" s="13" t="s">
        <v>72</v>
      </c>
      <c r="E52" s="13" t="s">
        <v>432</v>
      </c>
      <c r="F52" s="13" t="s">
        <v>287</v>
      </c>
      <c r="G52" s="1" t="str">
        <f>IFERROR(__xludf.DUMMYFUNCTION("split(E52,"" "")"),"Germany")</f>
        <v>Germany</v>
      </c>
      <c r="H52" s="1" t="str">
        <f>IFERROR(__xludf.DUMMYFUNCTION("""COMPUTED_VALUE"""),"(DE)")</f>
        <v>(DE)</v>
      </c>
      <c r="I52" s="1" t="str">
        <f>vlookup(G52,'All Countries'!$A$1:$B$40,2,false)</f>
        <v>Germany</v>
      </c>
    </row>
    <row r="53">
      <c r="A53" s="13" t="s">
        <v>433</v>
      </c>
      <c r="B53" s="13" t="s">
        <v>434</v>
      </c>
      <c r="C53" s="13"/>
      <c r="D53" s="13" t="s">
        <v>68</v>
      </c>
      <c r="E53" s="13" t="s">
        <v>432</v>
      </c>
      <c r="F53" s="13" t="s">
        <v>287</v>
      </c>
      <c r="G53" s="1" t="str">
        <f>IFERROR(__xludf.DUMMYFUNCTION("split(E53,"" "")"),"Germany")</f>
        <v>Germany</v>
      </c>
      <c r="H53" s="1" t="str">
        <f>IFERROR(__xludf.DUMMYFUNCTION("""COMPUTED_VALUE"""),"(DE)")</f>
        <v>(DE)</v>
      </c>
      <c r="I53" s="1" t="str">
        <f>vlookup(G53,'All Countries'!$A$1:$B$40,2,false)</f>
        <v>Germany</v>
      </c>
    </row>
    <row r="54">
      <c r="A54" s="13" t="s">
        <v>435</v>
      </c>
      <c r="B54" s="13" t="s">
        <v>436</v>
      </c>
      <c r="C54" s="13"/>
      <c r="D54" s="13" t="s">
        <v>437</v>
      </c>
      <c r="E54" s="13" t="s">
        <v>432</v>
      </c>
      <c r="F54" s="13" t="s">
        <v>277</v>
      </c>
      <c r="G54" s="1" t="str">
        <f>IFERROR(__xludf.DUMMYFUNCTION("split(E54,"" "")"),"Germany")</f>
        <v>Germany</v>
      </c>
      <c r="H54" s="1" t="str">
        <f>IFERROR(__xludf.DUMMYFUNCTION("""COMPUTED_VALUE"""),"(DE)")</f>
        <v>(DE)</v>
      </c>
      <c r="I54" s="1" t="str">
        <f>vlookup(G54,'All Countries'!$A$1:$B$40,2,false)</f>
        <v>Germany</v>
      </c>
    </row>
    <row r="55">
      <c r="A55" s="13" t="s">
        <v>438</v>
      </c>
      <c r="B55" s="13" t="s">
        <v>439</v>
      </c>
      <c r="C55" s="13"/>
      <c r="D55" s="13" t="s">
        <v>440</v>
      </c>
      <c r="E55" s="13" t="s">
        <v>432</v>
      </c>
      <c r="F55" s="13" t="s">
        <v>277</v>
      </c>
      <c r="G55" s="1" t="str">
        <f>IFERROR(__xludf.DUMMYFUNCTION("split(E55,"" "")"),"Germany")</f>
        <v>Germany</v>
      </c>
      <c r="H55" s="1" t="str">
        <f>IFERROR(__xludf.DUMMYFUNCTION("""COMPUTED_VALUE"""),"(DE)")</f>
        <v>(DE)</v>
      </c>
      <c r="I55" s="1" t="str">
        <f>vlookup(G55,'All Countries'!$A$1:$B$40,2,false)</f>
        <v>Germany</v>
      </c>
    </row>
    <row r="56">
      <c r="A56" s="13" t="s">
        <v>441</v>
      </c>
      <c r="B56" s="13" t="s">
        <v>442</v>
      </c>
      <c r="C56" s="13"/>
      <c r="D56" s="13" t="s">
        <v>443</v>
      </c>
      <c r="E56" s="13" t="s">
        <v>432</v>
      </c>
      <c r="F56" s="13" t="s">
        <v>277</v>
      </c>
      <c r="G56" s="1" t="str">
        <f>IFERROR(__xludf.DUMMYFUNCTION("split(E56,"" "")"),"Germany")</f>
        <v>Germany</v>
      </c>
      <c r="H56" s="1" t="str">
        <f>IFERROR(__xludf.DUMMYFUNCTION("""COMPUTED_VALUE"""),"(DE)")</f>
        <v>(DE)</v>
      </c>
      <c r="I56" s="1" t="str">
        <f>vlookup(G56,'All Countries'!$A$1:$B$40,2,false)</f>
        <v>Germany</v>
      </c>
    </row>
    <row r="57">
      <c r="A57" s="13" t="s">
        <v>444</v>
      </c>
      <c r="B57" s="13" t="s">
        <v>445</v>
      </c>
      <c r="C57" s="13"/>
      <c r="D57" s="13" t="s">
        <v>446</v>
      </c>
      <c r="E57" s="13" t="s">
        <v>432</v>
      </c>
      <c r="F57" s="13" t="s">
        <v>277</v>
      </c>
      <c r="G57" s="1" t="str">
        <f>IFERROR(__xludf.DUMMYFUNCTION("split(E57,"" "")"),"Germany")</f>
        <v>Germany</v>
      </c>
      <c r="H57" s="1" t="str">
        <f>IFERROR(__xludf.DUMMYFUNCTION("""COMPUTED_VALUE"""),"(DE)")</f>
        <v>(DE)</v>
      </c>
      <c r="I57" s="1" t="str">
        <f>vlookup(G57,'All Countries'!$A$1:$B$40,2,false)</f>
        <v>Germany</v>
      </c>
    </row>
    <row r="58">
      <c r="A58" s="13" t="s">
        <v>447</v>
      </c>
      <c r="B58" s="13" t="s">
        <v>448</v>
      </c>
      <c r="C58" s="13"/>
      <c r="D58" s="13" t="s">
        <v>449</v>
      </c>
      <c r="E58" s="13" t="s">
        <v>450</v>
      </c>
      <c r="F58" s="13" t="s">
        <v>277</v>
      </c>
      <c r="G58" s="1" t="str">
        <f>IFERROR(__xludf.DUMMYFUNCTION("split(E58,"" "")"),"Greece")</f>
        <v>Greece</v>
      </c>
      <c r="H58" s="1" t="str">
        <f>IFERROR(__xludf.DUMMYFUNCTION("""COMPUTED_VALUE"""),"(EL)")</f>
        <v>(EL)</v>
      </c>
      <c r="I58" s="1" t="str">
        <f>vlookup(G58,'All Countries'!$A$1:$B$40,2,false)</f>
        <v>Greece</v>
      </c>
    </row>
    <row r="59">
      <c r="A59" s="13" t="s">
        <v>451</v>
      </c>
      <c r="B59" s="13" t="s">
        <v>452</v>
      </c>
      <c r="C59" s="13"/>
      <c r="D59" s="13" t="s">
        <v>75</v>
      </c>
      <c r="E59" s="13" t="s">
        <v>450</v>
      </c>
      <c r="F59" s="13" t="s">
        <v>287</v>
      </c>
      <c r="G59" s="1" t="str">
        <f>IFERROR(__xludf.DUMMYFUNCTION("split(E59,"" "")"),"Greece")</f>
        <v>Greece</v>
      </c>
      <c r="H59" s="1" t="str">
        <f>IFERROR(__xludf.DUMMYFUNCTION("""COMPUTED_VALUE"""),"(EL)")</f>
        <v>(EL)</v>
      </c>
      <c r="I59" s="1" t="str">
        <f>vlookup(G59,'All Countries'!$A$1:$B$40,2,false)</f>
        <v>Greece</v>
      </c>
    </row>
    <row r="60">
      <c r="A60" s="13" t="s">
        <v>453</v>
      </c>
      <c r="B60" s="13" t="s">
        <v>454</v>
      </c>
      <c r="C60" s="13"/>
      <c r="D60" s="13" t="s">
        <v>455</v>
      </c>
      <c r="E60" s="13" t="s">
        <v>450</v>
      </c>
      <c r="F60" s="13" t="s">
        <v>277</v>
      </c>
      <c r="G60" s="1" t="str">
        <f>IFERROR(__xludf.DUMMYFUNCTION("split(E60,"" "")"),"Greece")</f>
        <v>Greece</v>
      </c>
      <c r="H60" s="1" t="str">
        <f>IFERROR(__xludf.DUMMYFUNCTION("""COMPUTED_VALUE"""),"(EL)")</f>
        <v>(EL)</v>
      </c>
      <c r="I60" s="1" t="str">
        <f>vlookup(G60,'All Countries'!$A$1:$B$40,2,false)</f>
        <v>Greece</v>
      </c>
    </row>
    <row r="61">
      <c r="A61" s="13" t="s">
        <v>456</v>
      </c>
      <c r="B61" s="13" t="s">
        <v>457</v>
      </c>
      <c r="C61" s="13"/>
      <c r="D61" s="13" t="s">
        <v>458</v>
      </c>
      <c r="E61" s="13" t="s">
        <v>450</v>
      </c>
      <c r="F61" s="13" t="s">
        <v>277</v>
      </c>
      <c r="G61" s="1" t="str">
        <f>IFERROR(__xludf.DUMMYFUNCTION("split(E61,"" "")"),"Greece")</f>
        <v>Greece</v>
      </c>
      <c r="H61" s="1" t="str">
        <f>IFERROR(__xludf.DUMMYFUNCTION("""COMPUTED_VALUE"""),"(EL)")</f>
        <v>(EL)</v>
      </c>
      <c r="I61" s="1" t="str">
        <f>vlookup(G61,'All Countries'!$A$1:$B$40,2,false)</f>
        <v>Greece</v>
      </c>
    </row>
    <row r="62">
      <c r="A62" s="13" t="s">
        <v>459</v>
      </c>
      <c r="B62" s="13" t="s">
        <v>460</v>
      </c>
      <c r="C62" s="13"/>
      <c r="D62" s="13" t="s">
        <v>79</v>
      </c>
      <c r="E62" s="13" t="s">
        <v>450</v>
      </c>
      <c r="F62" s="13" t="s">
        <v>277</v>
      </c>
      <c r="G62" s="1" t="str">
        <f>IFERROR(__xludf.DUMMYFUNCTION("split(E62,"" "")"),"Greece")</f>
        <v>Greece</v>
      </c>
      <c r="H62" s="1" t="str">
        <f>IFERROR(__xludf.DUMMYFUNCTION("""COMPUTED_VALUE"""),"(EL)")</f>
        <v>(EL)</v>
      </c>
      <c r="I62" s="1" t="str">
        <f>vlookup(G62,'All Countries'!$A$1:$B$40,2,false)</f>
        <v>Greece</v>
      </c>
    </row>
    <row r="63">
      <c r="A63" s="13" t="s">
        <v>461</v>
      </c>
      <c r="B63" s="13" t="s">
        <v>462</v>
      </c>
      <c r="C63" s="13"/>
      <c r="D63" s="13" t="s">
        <v>463</v>
      </c>
      <c r="E63" s="13" t="s">
        <v>450</v>
      </c>
      <c r="F63" s="13" t="s">
        <v>277</v>
      </c>
      <c r="G63" s="1" t="str">
        <f>IFERROR(__xludf.DUMMYFUNCTION("split(E63,"" "")"),"Greece")</f>
        <v>Greece</v>
      </c>
      <c r="H63" s="1" t="str">
        <f>IFERROR(__xludf.DUMMYFUNCTION("""COMPUTED_VALUE"""),"(EL)")</f>
        <v>(EL)</v>
      </c>
      <c r="I63" s="1" t="str">
        <f>vlookup(G63,'All Countries'!$A$1:$B$40,2,false)</f>
        <v>Greece</v>
      </c>
    </row>
    <row r="64">
      <c r="A64" s="13" t="s">
        <v>464</v>
      </c>
      <c r="B64" s="13" t="s">
        <v>465</v>
      </c>
      <c r="C64" s="13"/>
      <c r="D64" s="15" t="s">
        <v>466</v>
      </c>
      <c r="E64" s="13" t="s">
        <v>467</v>
      </c>
      <c r="F64" s="13" t="s">
        <v>287</v>
      </c>
      <c r="G64" s="1" t="str">
        <f>IFERROR(__xludf.DUMMYFUNCTION("split(E64,"" "")"),"Hungary")</f>
        <v>Hungary</v>
      </c>
      <c r="H64" s="1" t="str">
        <f>IFERROR(__xludf.DUMMYFUNCTION("""COMPUTED_VALUE"""),"(HU)")</f>
        <v>(HU)</v>
      </c>
      <c r="I64" s="1" t="str">
        <f>vlookup(G64,'All Countries'!$A$1:$B$40,2,false)</f>
        <v>Hungary</v>
      </c>
    </row>
    <row r="65">
      <c r="A65" s="13" t="s">
        <v>468</v>
      </c>
      <c r="B65" s="13" t="s">
        <v>469</v>
      </c>
      <c r="C65" s="13"/>
      <c r="D65" s="13" t="s">
        <v>470</v>
      </c>
      <c r="E65" s="13" t="s">
        <v>467</v>
      </c>
      <c r="F65" s="13" t="s">
        <v>287</v>
      </c>
      <c r="G65" s="1" t="str">
        <f>IFERROR(__xludf.DUMMYFUNCTION("split(E65,"" "")"),"Hungary")</f>
        <v>Hungary</v>
      </c>
      <c r="H65" s="1" t="str">
        <f>IFERROR(__xludf.DUMMYFUNCTION("""COMPUTED_VALUE"""),"(HU)")</f>
        <v>(HU)</v>
      </c>
      <c r="I65" s="1" t="str">
        <f>vlookup(G65,'All Countries'!$A$1:$B$40,2,false)</f>
        <v>Hungary</v>
      </c>
    </row>
    <row r="66">
      <c r="A66" s="13" t="s">
        <v>471</v>
      </c>
      <c r="B66" s="13" t="s">
        <v>472</v>
      </c>
      <c r="C66" s="13"/>
      <c r="D66" s="13" t="s">
        <v>89</v>
      </c>
      <c r="E66" s="13" t="s">
        <v>467</v>
      </c>
      <c r="F66" s="16" t="s">
        <v>473</v>
      </c>
      <c r="G66" s="1" t="str">
        <f>IFERROR(__xludf.DUMMYFUNCTION("split(E66,"" "")"),"Hungary")</f>
        <v>Hungary</v>
      </c>
      <c r="H66" s="1" t="str">
        <f>IFERROR(__xludf.DUMMYFUNCTION("""COMPUTED_VALUE"""),"(HU)")</f>
        <v>(HU)</v>
      </c>
      <c r="I66" s="1" t="str">
        <f>vlookup(G66,'All Countries'!$A$1:$B$40,2,false)</f>
        <v>Hungary</v>
      </c>
    </row>
    <row r="67">
      <c r="A67" s="13" t="s">
        <v>474</v>
      </c>
      <c r="B67" s="13" t="s">
        <v>475</v>
      </c>
      <c r="C67" s="13"/>
      <c r="D67" s="13" t="s">
        <v>476</v>
      </c>
      <c r="E67" s="13" t="s">
        <v>467</v>
      </c>
      <c r="F67" s="13" t="s">
        <v>277</v>
      </c>
      <c r="G67" s="1" t="str">
        <f>IFERROR(__xludf.DUMMYFUNCTION("split(E67,"" "")"),"Hungary")</f>
        <v>Hungary</v>
      </c>
      <c r="H67" s="1" t="str">
        <f>IFERROR(__xludf.DUMMYFUNCTION("""COMPUTED_VALUE"""),"(HU)")</f>
        <v>(HU)</v>
      </c>
      <c r="I67" s="1" t="str">
        <f>vlookup(G67,'All Countries'!$A$1:$B$40,2,false)</f>
        <v>Hungary</v>
      </c>
    </row>
    <row r="68">
      <c r="A68" s="16" t="s">
        <v>477</v>
      </c>
      <c r="B68" s="16" t="s">
        <v>478</v>
      </c>
      <c r="C68" s="13"/>
      <c r="D68" s="16" t="s">
        <v>479</v>
      </c>
      <c r="E68" s="13" t="s">
        <v>467</v>
      </c>
      <c r="F68" s="13" t="s">
        <v>277</v>
      </c>
      <c r="G68" s="1" t="str">
        <f>IFERROR(__xludf.DUMMYFUNCTION("split(E68,"" "")"),"Hungary")</f>
        <v>Hungary</v>
      </c>
      <c r="H68" s="1" t="str">
        <f>IFERROR(__xludf.DUMMYFUNCTION("""COMPUTED_VALUE"""),"(HU)")</f>
        <v>(HU)</v>
      </c>
    </row>
    <row r="69">
      <c r="A69" s="13" t="s">
        <v>480</v>
      </c>
      <c r="B69" s="13" t="s">
        <v>481</v>
      </c>
      <c r="C69" s="13"/>
      <c r="D69" s="13" t="s">
        <v>482</v>
      </c>
      <c r="E69" s="13" t="s">
        <v>483</v>
      </c>
      <c r="F69" s="13" t="s">
        <v>277</v>
      </c>
      <c r="G69" s="1" t="str">
        <f>IFERROR(__xludf.DUMMYFUNCTION("split(E69,"" "")"),"Iceland")</f>
        <v>Iceland</v>
      </c>
      <c r="H69" s="1" t="str">
        <f>IFERROR(__xludf.DUMMYFUNCTION("""COMPUTED_VALUE"""),"(IS)")</f>
        <v>(IS)</v>
      </c>
      <c r="I69" s="1" t="str">
        <f>vlookup(G69,'All Countries'!$A$1:$B$40,2,false)</f>
        <v>#N/A</v>
      </c>
    </row>
    <row r="70">
      <c r="A70" s="13" t="s">
        <v>484</v>
      </c>
      <c r="B70" s="13" t="s">
        <v>485</v>
      </c>
      <c r="C70" s="13"/>
      <c r="D70" s="13" t="s">
        <v>486</v>
      </c>
      <c r="E70" s="13" t="s">
        <v>483</v>
      </c>
      <c r="F70" s="13" t="s">
        <v>287</v>
      </c>
      <c r="G70" s="1" t="str">
        <f>IFERROR(__xludf.DUMMYFUNCTION("split(E70,"" "")"),"Iceland")</f>
        <v>Iceland</v>
      </c>
      <c r="H70" s="1" t="str">
        <f>IFERROR(__xludf.DUMMYFUNCTION("""COMPUTED_VALUE"""),"(IS)")</f>
        <v>(IS)</v>
      </c>
      <c r="I70" s="1" t="str">
        <f>vlookup(G70,'All Countries'!$A$1:$B$40,2,false)</f>
        <v>#N/A</v>
      </c>
    </row>
    <row r="71">
      <c r="A71" s="13" t="s">
        <v>487</v>
      </c>
      <c r="B71" s="13" t="s">
        <v>488</v>
      </c>
      <c r="C71" s="13"/>
      <c r="D71" s="13" t="s">
        <v>489</v>
      </c>
      <c r="E71" s="13" t="s">
        <v>483</v>
      </c>
      <c r="F71" s="13" t="s">
        <v>287</v>
      </c>
      <c r="G71" s="1" t="str">
        <f>IFERROR(__xludf.DUMMYFUNCTION("split(E71,"" "")"),"Iceland")</f>
        <v>Iceland</v>
      </c>
      <c r="H71" s="1" t="str">
        <f>IFERROR(__xludf.DUMMYFUNCTION("""COMPUTED_VALUE"""),"(IS)")</f>
        <v>(IS)</v>
      </c>
      <c r="I71" s="1" t="str">
        <f>vlookup(G71,'All Countries'!$A$1:$B$40,2,false)</f>
        <v>#N/A</v>
      </c>
    </row>
    <row r="72">
      <c r="A72" s="13" t="s">
        <v>490</v>
      </c>
      <c r="B72" s="13" t="s">
        <v>491</v>
      </c>
      <c r="C72" s="13"/>
      <c r="D72" s="13" t="s">
        <v>93</v>
      </c>
      <c r="E72" s="13" t="s">
        <v>492</v>
      </c>
      <c r="F72" s="13" t="s">
        <v>277</v>
      </c>
      <c r="G72" s="1" t="str">
        <f>IFERROR(__xludf.DUMMYFUNCTION("split(E72,"" "")"),"India")</f>
        <v>India</v>
      </c>
      <c r="H72" s="1" t="str">
        <f>IFERROR(__xludf.DUMMYFUNCTION("""COMPUTED_VALUE"""),"(IN)")</f>
        <v>(IN)</v>
      </c>
      <c r="I72" s="1" t="str">
        <f>vlookup(G72,'All Countries'!$A$1:$B$40,2,false)</f>
        <v>#N/A</v>
      </c>
    </row>
    <row r="73">
      <c r="A73" s="13" t="s">
        <v>493</v>
      </c>
      <c r="B73" s="14" t="s">
        <v>494</v>
      </c>
      <c r="C73" s="13"/>
      <c r="D73" s="13" t="s">
        <v>98</v>
      </c>
      <c r="E73" s="13" t="s">
        <v>495</v>
      </c>
      <c r="F73" s="13" t="s">
        <v>287</v>
      </c>
      <c r="G73" s="1" t="str">
        <f>IFERROR(__xludf.DUMMYFUNCTION("split(E73,"" "")"),"Ireland")</f>
        <v>Ireland</v>
      </c>
      <c r="H73" s="1" t="str">
        <f>IFERROR(__xludf.DUMMYFUNCTION("""COMPUTED_VALUE"""),"(IE)")</f>
        <v>(IE)</v>
      </c>
      <c r="I73" s="1" t="str">
        <f>vlookup(G73,'All Countries'!$A$1:$B$40,2,false)</f>
        <v>Ireland</v>
      </c>
    </row>
    <row r="74">
      <c r="A74" s="13" t="s">
        <v>496</v>
      </c>
      <c r="B74" s="13" t="s">
        <v>497</v>
      </c>
      <c r="C74" s="13"/>
      <c r="D74" s="13" t="s">
        <v>498</v>
      </c>
      <c r="E74" s="13" t="s">
        <v>495</v>
      </c>
      <c r="F74" s="13" t="s">
        <v>277</v>
      </c>
      <c r="G74" s="1" t="str">
        <f>IFERROR(__xludf.DUMMYFUNCTION("split(E74,"" "")"),"Ireland")</f>
        <v>Ireland</v>
      </c>
      <c r="H74" s="1" t="str">
        <f>IFERROR(__xludf.DUMMYFUNCTION("""COMPUTED_VALUE"""),"(IE)")</f>
        <v>(IE)</v>
      </c>
      <c r="I74" s="1" t="str">
        <f>vlookup(G74,'All Countries'!$A$1:$B$40,2,false)</f>
        <v>Ireland</v>
      </c>
    </row>
    <row r="75">
      <c r="A75" s="13" t="s">
        <v>499</v>
      </c>
      <c r="B75" s="13" t="s">
        <v>500</v>
      </c>
      <c r="C75" s="13"/>
      <c r="D75" s="13" t="s">
        <v>501</v>
      </c>
      <c r="E75" s="13" t="s">
        <v>495</v>
      </c>
      <c r="F75" s="13" t="s">
        <v>287</v>
      </c>
      <c r="G75" s="1" t="str">
        <f>IFERROR(__xludf.DUMMYFUNCTION("split(E75,"" "")"),"Ireland")</f>
        <v>Ireland</v>
      </c>
      <c r="H75" s="1" t="str">
        <f>IFERROR(__xludf.DUMMYFUNCTION("""COMPUTED_VALUE"""),"(IE)")</f>
        <v>(IE)</v>
      </c>
      <c r="I75" s="1" t="str">
        <f>vlookup(G75,'All Countries'!$A$1:$B$40,2,false)</f>
        <v>Ireland</v>
      </c>
    </row>
    <row r="76">
      <c r="A76" s="13" t="s">
        <v>502</v>
      </c>
      <c r="B76" s="13" t="s">
        <v>503</v>
      </c>
      <c r="C76" s="13"/>
      <c r="D76" s="13" t="s">
        <v>102</v>
      </c>
      <c r="E76" s="13" t="s">
        <v>495</v>
      </c>
      <c r="F76" s="13" t="s">
        <v>277</v>
      </c>
      <c r="G76" s="1" t="str">
        <f>IFERROR(__xludf.DUMMYFUNCTION("split(E76,"" "")"),"Ireland")</f>
        <v>Ireland</v>
      </c>
      <c r="H76" s="1" t="str">
        <f>IFERROR(__xludf.DUMMYFUNCTION("""COMPUTED_VALUE"""),"(IE)")</f>
        <v>(IE)</v>
      </c>
      <c r="I76" s="1" t="str">
        <f>vlookup(G76,'All Countries'!$A$1:$B$40,2,false)</f>
        <v>Ireland</v>
      </c>
    </row>
    <row r="77">
      <c r="A77" s="13" t="s">
        <v>504</v>
      </c>
      <c r="B77" s="13" t="s">
        <v>505</v>
      </c>
      <c r="C77" s="13"/>
      <c r="D77" s="13" t="s">
        <v>506</v>
      </c>
      <c r="E77" s="13" t="s">
        <v>495</v>
      </c>
      <c r="F77" s="13" t="s">
        <v>277</v>
      </c>
      <c r="G77" s="1" t="str">
        <f>IFERROR(__xludf.DUMMYFUNCTION("split(E77,"" "")"),"Ireland")</f>
        <v>Ireland</v>
      </c>
      <c r="H77" s="1" t="str">
        <f>IFERROR(__xludf.DUMMYFUNCTION("""COMPUTED_VALUE"""),"(IE)")</f>
        <v>(IE)</v>
      </c>
      <c r="I77" s="1" t="str">
        <f>vlookup(G77,'All Countries'!$A$1:$B$40,2,false)</f>
        <v>Ireland</v>
      </c>
    </row>
    <row r="78">
      <c r="A78" s="13" t="s">
        <v>507</v>
      </c>
      <c r="B78" s="13" t="s">
        <v>508</v>
      </c>
      <c r="C78" s="13"/>
      <c r="D78" s="13" t="s">
        <v>249</v>
      </c>
      <c r="E78" s="13" t="s">
        <v>495</v>
      </c>
      <c r="F78" s="13" t="s">
        <v>277</v>
      </c>
      <c r="G78" s="1" t="str">
        <f>IFERROR(__xludf.DUMMYFUNCTION("split(E78,"" "")"),"Ireland")</f>
        <v>Ireland</v>
      </c>
      <c r="H78" s="1" t="str">
        <f>IFERROR(__xludf.DUMMYFUNCTION("""COMPUTED_VALUE"""),"(IE)")</f>
        <v>(IE)</v>
      </c>
      <c r="I78" s="1" t="str">
        <f>vlookup(G78,'All Countries'!$A$1:$B$40,2,false)</f>
        <v>Ireland</v>
      </c>
    </row>
    <row r="79">
      <c r="A79" s="13" t="s">
        <v>509</v>
      </c>
      <c r="B79" s="13" t="s">
        <v>510</v>
      </c>
      <c r="C79" s="13"/>
      <c r="D79" s="13" t="s">
        <v>511</v>
      </c>
      <c r="E79" s="13" t="s">
        <v>512</v>
      </c>
      <c r="F79" s="13" t="s">
        <v>287</v>
      </c>
      <c r="G79" s="1" t="str">
        <f>IFERROR(__xludf.DUMMYFUNCTION("split(E79,"" "")"),"Israel")</f>
        <v>Israel</v>
      </c>
      <c r="H79" s="1" t="str">
        <f>IFERROR(__xludf.DUMMYFUNCTION("""COMPUTED_VALUE"""),"(IL)")</f>
        <v>(IL)</v>
      </c>
      <c r="I79" s="1" t="str">
        <f>vlookup(G79,'All Countries'!$A$1:$B$40,2,false)</f>
        <v>#N/A</v>
      </c>
    </row>
    <row r="80">
      <c r="A80" s="13" t="s">
        <v>513</v>
      </c>
      <c r="B80" s="13" t="s">
        <v>514</v>
      </c>
      <c r="C80" s="13"/>
      <c r="D80" s="13" t="s">
        <v>515</v>
      </c>
      <c r="E80" s="13" t="s">
        <v>512</v>
      </c>
      <c r="F80" s="13" t="s">
        <v>287</v>
      </c>
      <c r="G80" s="1" t="str">
        <f>IFERROR(__xludf.DUMMYFUNCTION("split(E80,"" "")"),"Israel")</f>
        <v>Israel</v>
      </c>
      <c r="H80" s="1" t="str">
        <f>IFERROR(__xludf.DUMMYFUNCTION("""COMPUTED_VALUE"""),"(IL)")</f>
        <v>(IL)</v>
      </c>
      <c r="I80" s="1" t="str">
        <f>vlookup(G80,'All Countries'!$A$1:$B$40,2,false)</f>
        <v>#N/A</v>
      </c>
    </row>
    <row r="81">
      <c r="A81" s="13" t="s">
        <v>516</v>
      </c>
      <c r="B81" s="13" t="s">
        <v>517</v>
      </c>
      <c r="C81" s="13"/>
      <c r="D81" s="13" t="s">
        <v>518</v>
      </c>
      <c r="E81" s="13" t="s">
        <v>512</v>
      </c>
      <c r="F81" s="13" t="s">
        <v>277</v>
      </c>
      <c r="G81" s="1" t="str">
        <f>IFERROR(__xludf.DUMMYFUNCTION("split(E81,"" "")"),"Israel")</f>
        <v>Israel</v>
      </c>
      <c r="H81" s="1" t="str">
        <f>IFERROR(__xludf.DUMMYFUNCTION("""COMPUTED_VALUE"""),"(IL)")</f>
        <v>(IL)</v>
      </c>
      <c r="I81" s="1" t="str">
        <f>vlookup(G81,'All Countries'!$A$1:$B$40,2,false)</f>
        <v>#N/A</v>
      </c>
    </row>
    <row r="82">
      <c r="A82" s="13" t="s">
        <v>519</v>
      </c>
      <c r="B82" s="13" t="s">
        <v>520</v>
      </c>
      <c r="C82" s="13"/>
      <c r="D82" s="13" t="s">
        <v>521</v>
      </c>
      <c r="E82" s="13" t="s">
        <v>522</v>
      </c>
      <c r="F82" s="13" t="s">
        <v>277</v>
      </c>
      <c r="G82" s="1" t="str">
        <f>IFERROR(__xludf.DUMMYFUNCTION("split(E82,"" "")"),"Italy")</f>
        <v>Italy</v>
      </c>
      <c r="H82" s="1" t="str">
        <f>IFERROR(__xludf.DUMMYFUNCTION("""COMPUTED_VALUE"""),"(IT)")</f>
        <v>(IT)</v>
      </c>
      <c r="I82" s="1" t="str">
        <f>vlookup(G82,'All Countries'!$A$1:$B$40,2,false)</f>
        <v>Italy</v>
      </c>
    </row>
    <row r="83">
      <c r="A83" s="13" t="s">
        <v>523</v>
      </c>
      <c r="B83" s="13" t="s">
        <v>524</v>
      </c>
      <c r="C83" s="13"/>
      <c r="D83" s="13" t="s">
        <v>525</v>
      </c>
      <c r="E83" s="13" t="s">
        <v>522</v>
      </c>
      <c r="F83" s="13" t="s">
        <v>277</v>
      </c>
      <c r="G83" s="1" t="str">
        <f>IFERROR(__xludf.DUMMYFUNCTION("split(E83,"" "")"),"Italy")</f>
        <v>Italy</v>
      </c>
      <c r="H83" s="1" t="str">
        <f>IFERROR(__xludf.DUMMYFUNCTION("""COMPUTED_VALUE"""),"(IT)")</f>
        <v>(IT)</v>
      </c>
      <c r="I83" s="1" t="str">
        <f>vlookup(G83,'All Countries'!$A$1:$B$40,2,false)</f>
        <v>Italy</v>
      </c>
    </row>
    <row r="84">
      <c r="A84" s="13" t="s">
        <v>526</v>
      </c>
      <c r="B84" s="13" t="s">
        <v>527</v>
      </c>
      <c r="C84" s="13"/>
      <c r="D84" s="13" t="s">
        <v>110</v>
      </c>
      <c r="E84" s="13" t="s">
        <v>522</v>
      </c>
      <c r="F84" s="13" t="s">
        <v>277</v>
      </c>
      <c r="G84" s="1" t="str">
        <f>IFERROR(__xludf.DUMMYFUNCTION("split(E84,"" "")"),"Italy")</f>
        <v>Italy</v>
      </c>
      <c r="H84" s="1" t="str">
        <f>IFERROR(__xludf.DUMMYFUNCTION("""COMPUTED_VALUE"""),"(IT)")</f>
        <v>(IT)</v>
      </c>
      <c r="I84" s="1" t="str">
        <f>vlookup(G84,'All Countries'!$A$1:$B$40,2,false)</f>
        <v>Italy</v>
      </c>
    </row>
    <row r="85">
      <c r="A85" s="13" t="s">
        <v>528</v>
      </c>
      <c r="B85" s="13" t="s">
        <v>529</v>
      </c>
      <c r="C85" s="13"/>
      <c r="D85" s="13" t="s">
        <v>530</v>
      </c>
      <c r="E85" s="13" t="s">
        <v>522</v>
      </c>
      <c r="F85" s="13" t="s">
        <v>277</v>
      </c>
      <c r="G85" s="1" t="str">
        <f>IFERROR(__xludf.DUMMYFUNCTION("split(E85,"" "")"),"Italy")</f>
        <v>Italy</v>
      </c>
      <c r="H85" s="1" t="str">
        <f>IFERROR(__xludf.DUMMYFUNCTION("""COMPUTED_VALUE"""),"(IT)")</f>
        <v>(IT)</v>
      </c>
      <c r="I85" s="1" t="str">
        <f>vlookup(G85,'All Countries'!$A$1:$B$40,2,false)</f>
        <v>Italy</v>
      </c>
    </row>
    <row r="86">
      <c r="A86" s="13" t="s">
        <v>531</v>
      </c>
      <c r="B86" s="13" t="s">
        <v>532</v>
      </c>
      <c r="C86" s="13"/>
      <c r="D86" s="14" t="s">
        <v>533</v>
      </c>
      <c r="E86" s="13" t="s">
        <v>522</v>
      </c>
      <c r="F86" s="13" t="s">
        <v>287</v>
      </c>
      <c r="G86" s="1" t="str">
        <f>IFERROR(__xludf.DUMMYFUNCTION("split(E86,"" "")"),"Italy")</f>
        <v>Italy</v>
      </c>
      <c r="H86" s="1" t="str">
        <f>IFERROR(__xludf.DUMMYFUNCTION("""COMPUTED_VALUE"""),"(IT)")</f>
        <v>(IT)</v>
      </c>
      <c r="I86" s="1" t="str">
        <f>vlookup(G86,'All Countries'!$A$1:$B$40,2,false)</f>
        <v>Italy</v>
      </c>
    </row>
    <row r="87">
      <c r="A87" s="13" t="s">
        <v>534</v>
      </c>
      <c r="B87" s="13" t="s">
        <v>535</v>
      </c>
      <c r="C87" s="13"/>
      <c r="D87" s="13" t="s">
        <v>536</v>
      </c>
      <c r="E87" s="13" t="s">
        <v>522</v>
      </c>
      <c r="F87" s="13" t="s">
        <v>277</v>
      </c>
      <c r="G87" s="1" t="str">
        <f>IFERROR(__xludf.DUMMYFUNCTION("split(E87,"" "")"),"Italy")</f>
        <v>Italy</v>
      </c>
      <c r="H87" s="1" t="str">
        <f>IFERROR(__xludf.DUMMYFUNCTION("""COMPUTED_VALUE"""),"(IT)")</f>
        <v>(IT)</v>
      </c>
      <c r="I87" s="1" t="str">
        <f>vlookup(G87,'All Countries'!$A$1:$B$40,2,false)</f>
        <v>Italy</v>
      </c>
    </row>
    <row r="88">
      <c r="A88" s="13" t="s">
        <v>537</v>
      </c>
      <c r="B88" s="13" t="s">
        <v>538</v>
      </c>
      <c r="C88" s="13"/>
      <c r="D88" s="13" t="s">
        <v>539</v>
      </c>
      <c r="E88" s="13" t="s">
        <v>522</v>
      </c>
      <c r="F88" s="13" t="s">
        <v>287</v>
      </c>
      <c r="G88" s="1" t="str">
        <f>IFERROR(__xludf.DUMMYFUNCTION("split(E88,"" "")"),"Italy")</f>
        <v>Italy</v>
      </c>
      <c r="H88" s="1" t="str">
        <f>IFERROR(__xludf.DUMMYFUNCTION("""COMPUTED_VALUE"""),"(IT)")</f>
        <v>(IT)</v>
      </c>
      <c r="I88" s="1" t="str">
        <f>vlookup(G88,'All Countries'!$A$1:$B$40,2,false)</f>
        <v>Italy</v>
      </c>
    </row>
    <row r="89">
      <c r="A89" s="13" t="s">
        <v>540</v>
      </c>
      <c r="B89" s="13" t="s">
        <v>541</v>
      </c>
      <c r="C89" s="13"/>
      <c r="D89" s="13" t="s">
        <v>106</v>
      </c>
      <c r="E89" s="13" t="s">
        <v>522</v>
      </c>
      <c r="F89" s="13" t="s">
        <v>277</v>
      </c>
      <c r="G89" s="1" t="str">
        <f>IFERROR(__xludf.DUMMYFUNCTION("split(E89,"" "")"),"Italy")</f>
        <v>Italy</v>
      </c>
      <c r="H89" s="1" t="str">
        <f>IFERROR(__xludf.DUMMYFUNCTION("""COMPUTED_VALUE"""),"(IT)")</f>
        <v>(IT)</v>
      </c>
      <c r="I89" s="1" t="str">
        <f>vlookup(G89,'All Countries'!$A$1:$B$40,2,false)</f>
        <v>Italy</v>
      </c>
    </row>
    <row r="90">
      <c r="A90" s="13" t="s">
        <v>523</v>
      </c>
      <c r="B90" s="13" t="s">
        <v>542</v>
      </c>
      <c r="C90" s="13"/>
      <c r="D90" s="13" t="s">
        <v>543</v>
      </c>
      <c r="E90" s="13" t="s">
        <v>522</v>
      </c>
      <c r="F90" s="13" t="s">
        <v>277</v>
      </c>
      <c r="G90" s="1" t="str">
        <f>IFERROR(__xludf.DUMMYFUNCTION("split(E90,"" "")"),"Italy")</f>
        <v>Italy</v>
      </c>
      <c r="H90" s="1" t="str">
        <f>IFERROR(__xludf.DUMMYFUNCTION("""COMPUTED_VALUE"""),"(IT)")</f>
        <v>(IT)</v>
      </c>
      <c r="I90" s="1" t="str">
        <f>vlookup(G90,'All Countries'!$A$1:$B$40,2,false)</f>
        <v>Italy</v>
      </c>
    </row>
    <row r="91">
      <c r="A91" s="13" t="s">
        <v>496</v>
      </c>
      <c r="B91" s="13" t="s">
        <v>544</v>
      </c>
      <c r="C91" s="13"/>
      <c r="D91" s="13" t="s">
        <v>114</v>
      </c>
      <c r="E91" s="13" t="s">
        <v>522</v>
      </c>
      <c r="F91" s="13" t="s">
        <v>277</v>
      </c>
      <c r="G91" s="1" t="str">
        <f>IFERROR(__xludf.DUMMYFUNCTION("split(E91,"" "")"),"Italy")</f>
        <v>Italy</v>
      </c>
      <c r="H91" s="1" t="str">
        <f>IFERROR(__xludf.DUMMYFUNCTION("""COMPUTED_VALUE"""),"(IT)")</f>
        <v>(IT)</v>
      </c>
      <c r="I91" s="1" t="str">
        <f>vlookup(G91,'All Countries'!$A$1:$B$40,2,false)</f>
        <v>Italy</v>
      </c>
    </row>
    <row r="92">
      <c r="A92" s="13" t="s">
        <v>545</v>
      </c>
      <c r="B92" s="13" t="s">
        <v>546</v>
      </c>
      <c r="C92" s="13"/>
      <c r="D92" s="13" t="s">
        <v>547</v>
      </c>
      <c r="E92" s="13" t="s">
        <v>522</v>
      </c>
      <c r="F92" s="13" t="s">
        <v>277</v>
      </c>
      <c r="G92" s="1" t="str">
        <f>IFERROR(__xludf.DUMMYFUNCTION("split(E92,"" "")"),"Italy")</f>
        <v>Italy</v>
      </c>
      <c r="H92" s="1" t="str">
        <f>IFERROR(__xludf.DUMMYFUNCTION("""COMPUTED_VALUE"""),"(IT)")</f>
        <v>(IT)</v>
      </c>
      <c r="I92" s="1" t="str">
        <f>vlookup(G92,'All Countries'!$A$1:$B$40,2,false)</f>
        <v>Italy</v>
      </c>
    </row>
    <row r="93">
      <c r="A93" s="13" t="s">
        <v>548</v>
      </c>
      <c r="B93" s="13" t="s">
        <v>549</v>
      </c>
      <c r="C93" s="13"/>
      <c r="D93" s="13" t="s">
        <v>550</v>
      </c>
      <c r="E93" s="13" t="s">
        <v>522</v>
      </c>
      <c r="F93" s="13" t="s">
        <v>277</v>
      </c>
      <c r="G93" s="1" t="str">
        <f>IFERROR(__xludf.DUMMYFUNCTION("split(E93,"" "")"),"Italy")</f>
        <v>Italy</v>
      </c>
      <c r="H93" s="1" t="str">
        <f>IFERROR(__xludf.DUMMYFUNCTION("""COMPUTED_VALUE"""),"(IT)")</f>
        <v>(IT)</v>
      </c>
      <c r="I93" s="1" t="str">
        <f>vlookup(G93,'All Countries'!$A$1:$B$40,2,false)</f>
        <v>Italy</v>
      </c>
    </row>
    <row r="94">
      <c r="A94" s="13" t="s">
        <v>551</v>
      </c>
      <c r="B94" s="13" t="s">
        <v>552</v>
      </c>
      <c r="C94" s="13"/>
      <c r="D94" s="13" t="s">
        <v>553</v>
      </c>
      <c r="E94" s="13" t="s">
        <v>522</v>
      </c>
      <c r="F94" s="13" t="s">
        <v>277</v>
      </c>
      <c r="G94" s="1" t="str">
        <f>IFERROR(__xludf.DUMMYFUNCTION("split(E94,"" "")"),"Italy")</f>
        <v>Italy</v>
      </c>
      <c r="H94" s="1" t="str">
        <f>IFERROR(__xludf.DUMMYFUNCTION("""COMPUTED_VALUE"""),"(IT)")</f>
        <v>(IT)</v>
      </c>
      <c r="I94" s="1" t="str">
        <f>vlookup(G94,'All Countries'!$A$1:$B$40,2,false)</f>
        <v>Italy</v>
      </c>
    </row>
    <row r="95">
      <c r="A95" s="13" t="s">
        <v>554</v>
      </c>
      <c r="B95" s="13" t="s">
        <v>555</v>
      </c>
      <c r="C95" s="13"/>
      <c r="D95" s="13" t="s">
        <v>556</v>
      </c>
      <c r="E95" s="13" t="s">
        <v>557</v>
      </c>
      <c r="F95" s="13" t="s">
        <v>277</v>
      </c>
      <c r="G95" s="1" t="str">
        <f>IFERROR(__xludf.DUMMYFUNCTION("split(E95,"" "")"),"Kosovo*")</f>
        <v>Kosovo*</v>
      </c>
      <c r="H95" s="1" t="str">
        <f>IFERROR(__xludf.DUMMYFUNCTION("""COMPUTED_VALUE"""),"(KV)")</f>
        <v>(KV)</v>
      </c>
      <c r="I95" s="1" t="str">
        <f>vlookup(G95,'All Countries'!$A$1:$B$40,2,false)</f>
        <v>#N/A</v>
      </c>
    </row>
    <row r="96">
      <c r="A96" s="13" t="s">
        <v>558</v>
      </c>
      <c r="B96" s="13" t="s">
        <v>559</v>
      </c>
      <c r="C96" s="13"/>
      <c r="D96" s="13" t="s">
        <v>164</v>
      </c>
      <c r="E96" s="13" t="s">
        <v>557</v>
      </c>
      <c r="F96" s="13" t="s">
        <v>277</v>
      </c>
      <c r="G96" s="1" t="str">
        <f>IFERROR(__xludf.DUMMYFUNCTION("split(E96,"" "")"),"Kosovo*")</f>
        <v>Kosovo*</v>
      </c>
      <c r="H96" s="1" t="str">
        <f>IFERROR(__xludf.DUMMYFUNCTION("""COMPUTED_VALUE"""),"(KV)")</f>
        <v>(KV)</v>
      </c>
      <c r="I96" s="1" t="str">
        <f>vlookup(G96,'All Countries'!$A$1:$B$40,2,false)</f>
        <v>#N/A</v>
      </c>
    </row>
    <row r="97">
      <c r="A97" s="13" t="s">
        <v>560</v>
      </c>
      <c r="B97" s="13" t="s">
        <v>561</v>
      </c>
      <c r="C97" s="13"/>
      <c r="D97" s="13" t="s">
        <v>562</v>
      </c>
      <c r="E97" s="13" t="s">
        <v>557</v>
      </c>
      <c r="F97" s="13" t="s">
        <v>277</v>
      </c>
      <c r="G97" s="1" t="str">
        <f>IFERROR(__xludf.DUMMYFUNCTION("split(E97,"" "")"),"Kosovo*")</f>
        <v>Kosovo*</v>
      </c>
      <c r="H97" s="1" t="str">
        <f>IFERROR(__xludf.DUMMYFUNCTION("""COMPUTED_VALUE"""),"(KV)")</f>
        <v>(KV)</v>
      </c>
      <c r="I97" s="1" t="str">
        <f>vlookup(G97,'All Countries'!$A$1:$B$40,2,false)</f>
        <v>#N/A</v>
      </c>
    </row>
    <row r="98">
      <c r="A98" s="13" t="s">
        <v>563</v>
      </c>
      <c r="B98" s="13" t="s">
        <v>564</v>
      </c>
      <c r="C98" s="13"/>
      <c r="D98" s="13" t="s">
        <v>117</v>
      </c>
      <c r="E98" s="13" t="s">
        <v>565</v>
      </c>
      <c r="F98" s="13" t="s">
        <v>287</v>
      </c>
      <c r="G98" s="1" t="str">
        <f>IFERROR(__xludf.DUMMYFUNCTION("split(E98,"" "")"),"Latvia")</f>
        <v>Latvia</v>
      </c>
      <c r="H98" s="1" t="str">
        <f>IFERROR(__xludf.DUMMYFUNCTION("""COMPUTED_VALUE"""),"(LV)")</f>
        <v>(LV)</v>
      </c>
      <c r="I98" s="1" t="str">
        <f>vlookup(G98,'All Countries'!$A$1:$B$40,2,false)</f>
        <v>Latvia</v>
      </c>
    </row>
    <row r="99">
      <c r="A99" s="13" t="s">
        <v>566</v>
      </c>
      <c r="B99" s="13" t="s">
        <v>567</v>
      </c>
      <c r="C99" s="13"/>
      <c r="D99" s="13" t="s">
        <v>124</v>
      </c>
      <c r="E99" s="13" t="s">
        <v>568</v>
      </c>
      <c r="F99" s="13" t="s">
        <v>287</v>
      </c>
      <c r="G99" s="1" t="str">
        <f>IFERROR(__xludf.DUMMYFUNCTION("split(E99,"" "")"),"Lithuania")</f>
        <v>Lithuania</v>
      </c>
      <c r="H99" s="1" t="str">
        <f>IFERROR(__xludf.DUMMYFUNCTION("""COMPUTED_VALUE"""),"(LT)")</f>
        <v>(LT)</v>
      </c>
      <c r="I99" s="1" t="str">
        <f>vlookup(G99,'All Countries'!$A$1:$B$40,2,false)</f>
        <v>Lithuania</v>
      </c>
    </row>
    <row r="100">
      <c r="A100" s="13" t="s">
        <v>569</v>
      </c>
      <c r="B100" s="13" t="s">
        <v>570</v>
      </c>
      <c r="C100" s="13"/>
      <c r="D100" s="13" t="s">
        <v>571</v>
      </c>
      <c r="E100" s="13" t="s">
        <v>568</v>
      </c>
      <c r="F100" s="13" t="s">
        <v>277</v>
      </c>
      <c r="G100" s="1" t="str">
        <f>IFERROR(__xludf.DUMMYFUNCTION("split(E100,"" "")"),"Lithuania")</f>
        <v>Lithuania</v>
      </c>
      <c r="H100" s="1" t="str">
        <f>IFERROR(__xludf.DUMMYFUNCTION("""COMPUTED_VALUE"""),"(LT)")</f>
        <v>(LT)</v>
      </c>
      <c r="I100" s="1" t="str">
        <f>vlookup(G100,'All Countries'!$A$1:$B$40,2,false)</f>
        <v>Lithuania</v>
      </c>
    </row>
    <row r="101">
      <c r="A101" s="13" t="s">
        <v>572</v>
      </c>
      <c r="B101" s="13" t="s">
        <v>573</v>
      </c>
      <c r="C101" s="13"/>
      <c r="D101" s="13" t="s">
        <v>574</v>
      </c>
      <c r="E101" s="13" t="s">
        <v>568</v>
      </c>
      <c r="F101" s="13" t="s">
        <v>287</v>
      </c>
      <c r="G101" s="1" t="str">
        <f>IFERROR(__xludf.DUMMYFUNCTION("split(E101,"" "")"),"Lithuania")</f>
        <v>Lithuania</v>
      </c>
      <c r="H101" s="1" t="str">
        <f>IFERROR(__xludf.DUMMYFUNCTION("""COMPUTED_VALUE"""),"(LT)")</f>
        <v>(LT)</v>
      </c>
      <c r="I101" s="1" t="str">
        <f>vlookup(G101,'All Countries'!$A$1:$B$40,2,false)</f>
        <v>Lithuania</v>
      </c>
    </row>
    <row r="102">
      <c r="A102" s="13" t="s">
        <v>575</v>
      </c>
      <c r="B102" s="13" t="s">
        <v>576</v>
      </c>
      <c r="C102" s="13"/>
      <c r="D102" s="13" t="s">
        <v>577</v>
      </c>
      <c r="E102" s="13" t="s">
        <v>568</v>
      </c>
      <c r="F102" s="13" t="s">
        <v>277</v>
      </c>
      <c r="G102" s="1" t="str">
        <f>IFERROR(__xludf.DUMMYFUNCTION("split(E102,"" "")"),"Lithuania")</f>
        <v>Lithuania</v>
      </c>
      <c r="H102" s="1" t="str">
        <f>IFERROR(__xludf.DUMMYFUNCTION("""COMPUTED_VALUE"""),"(LT)")</f>
        <v>(LT)</v>
      </c>
      <c r="I102" s="1" t="str">
        <f>vlookup(G102,'All Countries'!$A$1:$B$40,2,false)</f>
        <v>Lithuania</v>
      </c>
    </row>
    <row r="103">
      <c r="A103" s="13" t="s">
        <v>578</v>
      </c>
      <c r="B103" s="13" t="s">
        <v>579</v>
      </c>
      <c r="C103" s="13"/>
      <c r="D103" s="15" t="s">
        <v>580</v>
      </c>
      <c r="E103" s="13" t="s">
        <v>568</v>
      </c>
      <c r="F103" s="13" t="s">
        <v>277</v>
      </c>
      <c r="G103" s="1" t="str">
        <f>IFERROR(__xludf.DUMMYFUNCTION("split(E103,"" "")"),"Lithuania")</f>
        <v>Lithuania</v>
      </c>
      <c r="H103" s="1" t="str">
        <f>IFERROR(__xludf.DUMMYFUNCTION("""COMPUTED_VALUE"""),"(LT)")</f>
        <v>(LT)</v>
      </c>
      <c r="I103" s="1" t="str">
        <f>vlookup(G103,'All Countries'!$A$1:$B$40,2,false)</f>
        <v>Lithuania</v>
      </c>
    </row>
    <row r="104">
      <c r="A104" s="13" t="s">
        <v>581</v>
      </c>
      <c r="B104" s="13" t="s">
        <v>582</v>
      </c>
      <c r="C104" s="13"/>
      <c r="D104" s="13" t="s">
        <v>583</v>
      </c>
      <c r="E104" s="13" t="s">
        <v>584</v>
      </c>
      <c r="F104" s="13" t="s">
        <v>287</v>
      </c>
      <c r="G104" s="1" t="str">
        <f>IFERROR(__xludf.DUMMYFUNCTION("split(E104,"" "")"),"Luxembourg")</f>
        <v>Luxembourg</v>
      </c>
      <c r="H104" s="1" t="str">
        <f>IFERROR(__xludf.DUMMYFUNCTION("""COMPUTED_VALUE"""),"(LU)")</f>
        <v>(LU)</v>
      </c>
      <c r="I104" s="1" t="str">
        <f>vlookup(G104,'All Countries'!$A$1:$B$40,2,false)</f>
        <v>#N/A</v>
      </c>
    </row>
    <row r="105">
      <c r="A105" s="13" t="s">
        <v>585</v>
      </c>
      <c r="B105" s="13" t="s">
        <v>586</v>
      </c>
      <c r="C105" s="13"/>
      <c r="D105" s="13" t="s">
        <v>587</v>
      </c>
      <c r="E105" s="13" t="s">
        <v>584</v>
      </c>
      <c r="F105" s="13" t="s">
        <v>287</v>
      </c>
      <c r="G105" s="1" t="str">
        <f>IFERROR(__xludf.DUMMYFUNCTION("split(E105,"" "")"),"Luxembourg")</f>
        <v>Luxembourg</v>
      </c>
      <c r="H105" s="1" t="str">
        <f>IFERROR(__xludf.DUMMYFUNCTION("""COMPUTED_VALUE"""),"(LU)")</f>
        <v>(LU)</v>
      </c>
      <c r="I105" s="1" t="str">
        <f>vlookup(G105,'All Countries'!$A$1:$B$40,2,false)</f>
        <v>#N/A</v>
      </c>
    </row>
    <row r="106">
      <c r="A106" s="13" t="s">
        <v>588</v>
      </c>
      <c r="B106" s="13" t="s">
        <v>589</v>
      </c>
      <c r="C106" s="13"/>
      <c r="D106" s="13" t="s">
        <v>590</v>
      </c>
      <c r="E106" s="13" t="s">
        <v>591</v>
      </c>
      <c r="F106" s="13" t="s">
        <v>287</v>
      </c>
      <c r="G106" s="1" t="str">
        <f>IFERROR(__xludf.DUMMYFUNCTION("split(E106,"" "")"),"Malta")</f>
        <v>Malta</v>
      </c>
      <c r="H106" s="1" t="str">
        <f>IFERROR(__xludf.DUMMYFUNCTION("""COMPUTED_VALUE"""),"(MT)")</f>
        <v>(MT)</v>
      </c>
      <c r="I106" s="1" t="str">
        <f>vlookup(G106,'All Countries'!$A$1:$B$40,2,false)</f>
        <v>Malta</v>
      </c>
    </row>
    <row r="107">
      <c r="A107" s="13" t="s">
        <v>592</v>
      </c>
      <c r="B107" s="13" t="s">
        <v>593</v>
      </c>
      <c r="C107" s="13"/>
      <c r="D107" s="13" t="s">
        <v>134</v>
      </c>
      <c r="E107" s="13" t="s">
        <v>591</v>
      </c>
      <c r="F107" s="13" t="s">
        <v>287</v>
      </c>
      <c r="G107" s="1" t="str">
        <f>IFERROR(__xludf.DUMMYFUNCTION("split(E107,"" "")"),"Malta")</f>
        <v>Malta</v>
      </c>
      <c r="H107" s="1" t="str">
        <f>IFERROR(__xludf.DUMMYFUNCTION("""COMPUTED_VALUE"""),"(MT)")</f>
        <v>(MT)</v>
      </c>
      <c r="I107" s="1" t="str">
        <f>vlookup(G107,'All Countries'!$A$1:$B$40,2,false)</f>
        <v>Malta</v>
      </c>
    </row>
    <row r="108">
      <c r="A108" s="13" t="s">
        <v>594</v>
      </c>
      <c r="B108" s="14" t="s">
        <v>595</v>
      </c>
      <c r="C108" s="13"/>
      <c r="D108" s="13" t="s">
        <v>596</v>
      </c>
      <c r="E108" s="13" t="s">
        <v>591</v>
      </c>
      <c r="F108" s="13" t="s">
        <v>277</v>
      </c>
      <c r="G108" s="1" t="str">
        <f>IFERROR(__xludf.DUMMYFUNCTION("split(E108,"" "")"),"Malta")</f>
        <v>Malta</v>
      </c>
      <c r="H108" s="1" t="str">
        <f>IFERROR(__xludf.DUMMYFUNCTION("""COMPUTED_VALUE"""),"(MT)")</f>
        <v>(MT)</v>
      </c>
      <c r="I108" s="1" t="str">
        <f>vlookup(G108,'All Countries'!$A$1:$B$40,2,false)</f>
        <v>Malta</v>
      </c>
    </row>
    <row r="109">
      <c r="A109" s="13" t="s">
        <v>597</v>
      </c>
      <c r="B109" s="13" t="s">
        <v>598</v>
      </c>
      <c r="C109" s="13"/>
      <c r="D109" s="13" t="s">
        <v>599</v>
      </c>
      <c r="E109" s="13" t="s">
        <v>591</v>
      </c>
      <c r="F109" s="13" t="s">
        <v>277</v>
      </c>
      <c r="G109" s="1" t="str">
        <f>IFERROR(__xludf.DUMMYFUNCTION("split(E109,"" "")"),"Malta")</f>
        <v>Malta</v>
      </c>
      <c r="H109" s="1" t="str">
        <f>IFERROR(__xludf.DUMMYFUNCTION("""COMPUTED_VALUE"""),"(MT)")</f>
        <v>(MT)</v>
      </c>
      <c r="I109" s="1" t="str">
        <f>vlookup(G109,'All Countries'!$A$1:$B$40,2,false)</f>
        <v>Malta</v>
      </c>
    </row>
    <row r="110">
      <c r="A110" s="13" t="s">
        <v>600</v>
      </c>
      <c r="B110" s="13" t="s">
        <v>601</v>
      </c>
      <c r="C110" s="13"/>
      <c r="D110" s="13" t="s">
        <v>602</v>
      </c>
      <c r="E110" s="13" t="s">
        <v>603</v>
      </c>
      <c r="F110" s="13" t="s">
        <v>287</v>
      </c>
      <c r="G110" s="1" t="str">
        <f>IFERROR(__xludf.DUMMYFUNCTION("split(E110,"" "")"),"Moldova")</f>
        <v>Moldova</v>
      </c>
      <c r="H110" s="1" t="str">
        <f>IFERROR(__xludf.DUMMYFUNCTION("""COMPUTED_VALUE"""),"(MD)")</f>
        <v>(MD)</v>
      </c>
      <c r="I110" s="1" t="str">
        <f>vlookup(G110,'All Countries'!$A$1:$B$40,2,false)</f>
        <v>#N/A</v>
      </c>
    </row>
    <row r="111">
      <c r="A111" s="13" t="s">
        <v>604</v>
      </c>
      <c r="B111" s="13" t="s">
        <v>605</v>
      </c>
      <c r="C111" s="13"/>
      <c r="D111" s="13" t="s">
        <v>606</v>
      </c>
      <c r="E111" s="13" t="s">
        <v>607</v>
      </c>
      <c r="F111" s="13" t="s">
        <v>287</v>
      </c>
      <c r="G111" s="1" t="str">
        <f>IFERROR(__xludf.DUMMYFUNCTION("split(E111,"" "")"),"Montenegro")</f>
        <v>Montenegro</v>
      </c>
      <c r="H111" s="1" t="str">
        <f>IFERROR(__xludf.DUMMYFUNCTION("""COMPUTED_VALUE"""),"(ME)")</f>
        <v>(ME)</v>
      </c>
      <c r="I111" s="1" t="str">
        <f>vlookup(G111,'All Countries'!$A$1:$B$40,2,false)</f>
        <v>#N/A</v>
      </c>
    </row>
    <row r="112">
      <c r="A112" s="13" t="s">
        <v>608</v>
      </c>
      <c r="B112" s="13" t="s">
        <v>609</v>
      </c>
      <c r="C112" s="13"/>
      <c r="D112" s="13" t="s">
        <v>610</v>
      </c>
      <c r="E112" s="13" t="s">
        <v>607</v>
      </c>
      <c r="F112" s="13" t="s">
        <v>277</v>
      </c>
      <c r="G112" s="1" t="str">
        <f>IFERROR(__xludf.DUMMYFUNCTION("split(E112,"" "")"),"Montenegro")</f>
        <v>Montenegro</v>
      </c>
      <c r="H112" s="1" t="str">
        <f>IFERROR(__xludf.DUMMYFUNCTION("""COMPUTED_VALUE"""),"(ME)")</f>
        <v>(ME)</v>
      </c>
      <c r="I112" s="1" t="str">
        <f>vlookup(G112,'All Countries'!$A$1:$B$40,2,false)</f>
        <v>#N/A</v>
      </c>
    </row>
    <row r="113">
      <c r="A113" s="13" t="s">
        <v>314</v>
      </c>
      <c r="B113" s="13" t="s">
        <v>611</v>
      </c>
      <c r="C113" s="13"/>
      <c r="D113" s="13" t="s">
        <v>141</v>
      </c>
      <c r="E113" s="13" t="s">
        <v>612</v>
      </c>
      <c r="F113" s="13" t="s">
        <v>287</v>
      </c>
      <c r="G113" s="1" t="str">
        <f>IFERROR(__xludf.DUMMYFUNCTION("split(E113,"" "")"),"Netherlands")</f>
        <v>Netherlands</v>
      </c>
      <c r="H113" s="1" t="str">
        <f>IFERROR(__xludf.DUMMYFUNCTION("""COMPUTED_VALUE"""),"(NL)")</f>
        <v>(NL)</v>
      </c>
      <c r="I113" s="1" t="str">
        <f>vlookup(G113,'All Countries'!$A$1:$B$40,2,false)</f>
        <v>Netherlands</v>
      </c>
    </row>
    <row r="114">
      <c r="A114" s="13" t="s">
        <v>613</v>
      </c>
      <c r="B114" s="13" t="s">
        <v>614</v>
      </c>
      <c r="C114" s="13"/>
      <c r="D114" s="13" t="s">
        <v>615</v>
      </c>
      <c r="E114" s="13" t="s">
        <v>612</v>
      </c>
      <c r="F114" s="13" t="s">
        <v>277</v>
      </c>
      <c r="G114" s="1" t="str">
        <f>IFERROR(__xludf.DUMMYFUNCTION("split(E114,"" "")"),"Netherlands")</f>
        <v>Netherlands</v>
      </c>
      <c r="H114" s="1" t="str">
        <f>IFERROR(__xludf.DUMMYFUNCTION("""COMPUTED_VALUE"""),"(NL)")</f>
        <v>(NL)</v>
      </c>
      <c r="I114" s="1" t="str">
        <f>vlookup(G114,'All Countries'!$A$1:$B$40,2,false)</f>
        <v>Netherlands</v>
      </c>
    </row>
    <row r="115">
      <c r="A115" s="13" t="s">
        <v>616</v>
      </c>
      <c r="B115" s="13" t="s">
        <v>617</v>
      </c>
      <c r="C115" s="13"/>
      <c r="D115" s="13" t="s">
        <v>618</v>
      </c>
      <c r="E115" s="13" t="s">
        <v>612</v>
      </c>
      <c r="F115" s="13" t="s">
        <v>287</v>
      </c>
      <c r="G115" s="1" t="str">
        <f>IFERROR(__xludf.DUMMYFUNCTION("split(E115,"" "")"),"Netherlands")</f>
        <v>Netherlands</v>
      </c>
      <c r="H115" s="1" t="str">
        <f>IFERROR(__xludf.DUMMYFUNCTION("""COMPUTED_VALUE"""),"(NL)")</f>
        <v>(NL)</v>
      </c>
      <c r="I115" s="1" t="str">
        <f>vlookup(G115,'All Countries'!$A$1:$B$40,2,false)</f>
        <v>Netherlands</v>
      </c>
    </row>
    <row r="116">
      <c r="A116" s="13" t="s">
        <v>456</v>
      </c>
      <c r="B116" s="13" t="s">
        <v>619</v>
      </c>
      <c r="C116" s="13"/>
      <c r="D116" s="13" t="s">
        <v>620</v>
      </c>
      <c r="E116" s="13" t="s">
        <v>612</v>
      </c>
      <c r="F116" s="13" t="s">
        <v>277</v>
      </c>
      <c r="G116" s="1" t="str">
        <f>IFERROR(__xludf.DUMMYFUNCTION("split(E116,"" "")"),"Netherlands")</f>
        <v>Netherlands</v>
      </c>
      <c r="H116" s="1" t="str">
        <f>IFERROR(__xludf.DUMMYFUNCTION("""COMPUTED_VALUE"""),"(NL)")</f>
        <v>(NL)</v>
      </c>
      <c r="I116" s="1" t="str">
        <f>vlookup(G116,'All Countries'!$A$1:$B$40,2,false)</f>
        <v>Netherlands</v>
      </c>
    </row>
    <row r="117">
      <c r="A117" s="13" t="s">
        <v>621</v>
      </c>
      <c r="B117" s="13" t="s">
        <v>622</v>
      </c>
      <c r="C117" s="13"/>
      <c r="D117" s="13" t="s">
        <v>623</v>
      </c>
      <c r="E117" s="13" t="s">
        <v>624</v>
      </c>
      <c r="F117" s="13" t="s">
        <v>277</v>
      </c>
      <c r="G117" s="1" t="str">
        <f>IFERROR(__xludf.DUMMYFUNCTION("split(E117,"" "")"),"#REF!")</f>
        <v>#REF!</v>
      </c>
      <c r="H117" s="1"/>
      <c r="I117" s="1" t="str">
        <f>vlookup(G117,'All Countries'!$A$1:$B$40,2,false)</f>
        <v>#REF!</v>
      </c>
    </row>
    <row r="118">
      <c r="A118" s="13" t="s">
        <v>625</v>
      </c>
      <c r="B118" s="13" t="s">
        <v>626</v>
      </c>
      <c r="C118" s="13"/>
      <c r="D118" s="13" t="s">
        <v>137</v>
      </c>
      <c r="E118" s="13" t="s">
        <v>627</v>
      </c>
      <c r="F118" s="13" t="s">
        <v>287</v>
      </c>
      <c r="G118" s="6" t="s">
        <v>146</v>
      </c>
      <c r="I118" s="1" t="str">
        <f>vlookup(G118,'All Countries'!$A$1:$B$40,2,false)</f>
        <v>North Macedonia</v>
      </c>
    </row>
    <row r="119">
      <c r="A119" s="13" t="s">
        <v>628</v>
      </c>
      <c r="B119" s="13" t="s">
        <v>629</v>
      </c>
      <c r="C119" s="13"/>
      <c r="D119" s="13" t="s">
        <v>630</v>
      </c>
      <c r="E119" s="13" t="s">
        <v>627</v>
      </c>
      <c r="F119" s="13" t="s">
        <v>277</v>
      </c>
      <c r="G119" s="6" t="s">
        <v>146</v>
      </c>
      <c r="I119" s="1" t="str">
        <f>vlookup(G119,'All Countries'!$A$1:$B$40,2,false)</f>
        <v>North Macedonia</v>
      </c>
    </row>
    <row r="120">
      <c r="A120" s="13" t="s">
        <v>631</v>
      </c>
      <c r="B120" s="15" t="s">
        <v>632</v>
      </c>
      <c r="C120" s="13"/>
      <c r="D120" s="13" t="s">
        <v>633</v>
      </c>
      <c r="E120" s="13" t="s">
        <v>627</v>
      </c>
      <c r="F120" s="13" t="s">
        <v>287</v>
      </c>
      <c r="G120" s="6" t="s">
        <v>146</v>
      </c>
      <c r="I120" s="1" t="str">
        <f>vlookup(G120,'All Countries'!$A$1:$B$40,2,false)</f>
        <v>North Macedonia</v>
      </c>
    </row>
    <row r="121">
      <c r="A121" s="13" t="s">
        <v>634</v>
      </c>
      <c r="B121" s="13" t="s">
        <v>635</v>
      </c>
      <c r="C121" s="13"/>
      <c r="D121" s="13" t="s">
        <v>636</v>
      </c>
      <c r="E121" s="13" t="s">
        <v>627</v>
      </c>
      <c r="F121" s="13" t="s">
        <v>277</v>
      </c>
      <c r="G121" s="6" t="s">
        <v>146</v>
      </c>
      <c r="I121" s="1" t="str">
        <f>vlookup(G121,'All Countries'!$A$1:$B$40,2,false)</f>
        <v>North Macedonia</v>
      </c>
    </row>
    <row r="122">
      <c r="A122" s="13" t="s">
        <v>637</v>
      </c>
      <c r="B122" s="13" t="s">
        <v>638</v>
      </c>
      <c r="C122" s="13"/>
      <c r="D122" s="13" t="s">
        <v>639</v>
      </c>
      <c r="E122" s="13" t="s">
        <v>627</v>
      </c>
      <c r="F122" s="13" t="s">
        <v>277</v>
      </c>
      <c r="G122" s="6" t="s">
        <v>146</v>
      </c>
      <c r="I122" s="1" t="str">
        <f>vlookup(G122,'All Countries'!$A$1:$B$40,2,false)</f>
        <v>North Macedonia</v>
      </c>
    </row>
    <row r="123">
      <c r="A123" s="13" t="s">
        <v>456</v>
      </c>
      <c r="B123" s="13" t="s">
        <v>640</v>
      </c>
      <c r="C123" s="13"/>
      <c r="D123" s="13" t="s">
        <v>641</v>
      </c>
      <c r="E123" s="13" t="s">
        <v>642</v>
      </c>
      <c r="F123" s="13" t="s">
        <v>287</v>
      </c>
      <c r="G123" s="1" t="str">
        <f>IFERROR(__xludf.DUMMYFUNCTION("split(E123,"" "")"),"Norway")</f>
        <v>Norway</v>
      </c>
      <c r="H123" s="1" t="str">
        <f>IFERROR(__xludf.DUMMYFUNCTION("""COMPUTED_VALUE"""),"(NO)")</f>
        <v>(NO)</v>
      </c>
      <c r="I123" s="1" t="str">
        <f>vlookup(G123,'All Countries'!$A$1:$B$40,2,false)</f>
        <v>Norway</v>
      </c>
    </row>
    <row r="124">
      <c r="A124" s="13" t="s">
        <v>643</v>
      </c>
      <c r="B124" s="13" t="s">
        <v>644</v>
      </c>
      <c r="C124" s="13"/>
      <c r="D124" s="13" t="s">
        <v>148</v>
      </c>
      <c r="E124" s="13" t="s">
        <v>642</v>
      </c>
      <c r="F124" s="13" t="s">
        <v>277</v>
      </c>
      <c r="G124" s="1" t="str">
        <f>IFERROR(__xludf.DUMMYFUNCTION("split(E124,"" "")"),"Norway")</f>
        <v>Norway</v>
      </c>
      <c r="H124" s="1" t="str">
        <f>IFERROR(__xludf.DUMMYFUNCTION("""COMPUTED_VALUE"""),"(NO)")</f>
        <v>(NO)</v>
      </c>
      <c r="I124" s="1" t="str">
        <f>vlookup(G124,'All Countries'!$A$1:$B$40,2,false)</f>
        <v>Norway</v>
      </c>
    </row>
    <row r="125">
      <c r="A125" s="13" t="s">
        <v>645</v>
      </c>
      <c r="B125" s="13" t="s">
        <v>646</v>
      </c>
      <c r="C125" s="13"/>
      <c r="D125" s="13" t="s">
        <v>647</v>
      </c>
      <c r="E125" s="13" t="s">
        <v>642</v>
      </c>
      <c r="F125" s="13" t="s">
        <v>287</v>
      </c>
      <c r="G125" s="1" t="str">
        <f>IFERROR(__xludf.DUMMYFUNCTION("split(E125,"" "")"),"Norway")</f>
        <v>Norway</v>
      </c>
      <c r="H125" s="1" t="str">
        <f>IFERROR(__xludf.DUMMYFUNCTION("""COMPUTED_VALUE"""),"(NO)")</f>
        <v>(NO)</v>
      </c>
      <c r="I125" s="1" t="str">
        <f>vlookup(G125,'All Countries'!$A$1:$B$40,2,false)</f>
        <v>Norway</v>
      </c>
    </row>
    <row r="126">
      <c r="A126" s="13" t="s">
        <v>648</v>
      </c>
      <c r="B126" s="13" t="s">
        <v>649</v>
      </c>
      <c r="C126" s="13"/>
      <c r="D126" s="13" t="s">
        <v>650</v>
      </c>
      <c r="E126" s="13" t="s">
        <v>642</v>
      </c>
      <c r="F126" s="13" t="s">
        <v>277</v>
      </c>
      <c r="G126" s="1" t="str">
        <f>IFERROR(__xludf.DUMMYFUNCTION("split(E126,"" "")"),"Norway")</f>
        <v>Norway</v>
      </c>
      <c r="H126" s="1" t="str">
        <f>IFERROR(__xludf.DUMMYFUNCTION("""COMPUTED_VALUE"""),"(NO)")</f>
        <v>(NO)</v>
      </c>
      <c r="I126" s="1" t="str">
        <f>vlookup(G126,'All Countries'!$A$1:$B$40,2,false)</f>
        <v>Norway</v>
      </c>
    </row>
    <row r="127">
      <c r="A127" s="13" t="s">
        <v>651</v>
      </c>
      <c r="B127" s="14" t="s">
        <v>652</v>
      </c>
      <c r="C127" s="13"/>
      <c r="D127" s="13" t="s">
        <v>653</v>
      </c>
      <c r="E127" s="13" t="s">
        <v>642</v>
      </c>
      <c r="F127" s="13" t="s">
        <v>277</v>
      </c>
      <c r="G127" s="1" t="str">
        <f>IFERROR(__xludf.DUMMYFUNCTION("split(E127,"" "")"),"Norway")</f>
        <v>Norway</v>
      </c>
      <c r="H127" s="1" t="str">
        <f>IFERROR(__xludf.DUMMYFUNCTION("""COMPUTED_VALUE"""),"(NO)")</f>
        <v>(NO)</v>
      </c>
      <c r="I127" s="1" t="str">
        <f>vlookup(G127,'All Countries'!$A$1:$B$40,2,false)</f>
        <v>Norway</v>
      </c>
    </row>
    <row r="128">
      <c r="A128" s="13" t="s">
        <v>654</v>
      </c>
      <c r="B128" s="13" t="s">
        <v>655</v>
      </c>
      <c r="C128" s="13"/>
      <c r="D128" s="13" t="s">
        <v>656</v>
      </c>
      <c r="E128" s="13" t="s">
        <v>642</v>
      </c>
      <c r="F128" s="13" t="s">
        <v>277</v>
      </c>
      <c r="G128" s="1" t="str">
        <f>IFERROR(__xludf.DUMMYFUNCTION("split(E128,"" "")"),"Norway")</f>
        <v>Norway</v>
      </c>
      <c r="H128" s="1" t="str">
        <f>IFERROR(__xludf.DUMMYFUNCTION("""COMPUTED_VALUE"""),"(NO)")</f>
        <v>(NO)</v>
      </c>
      <c r="I128" s="1" t="str">
        <f>vlookup(G128,'All Countries'!$A$1:$B$40,2,false)</f>
        <v>Norway</v>
      </c>
    </row>
    <row r="129">
      <c r="A129" s="13" t="s">
        <v>657</v>
      </c>
      <c r="B129" s="13" t="s">
        <v>658</v>
      </c>
      <c r="C129" s="13"/>
      <c r="D129" s="13" t="s">
        <v>659</v>
      </c>
      <c r="E129" s="13" t="s">
        <v>660</v>
      </c>
      <c r="F129" s="13" t="s">
        <v>277</v>
      </c>
      <c r="G129" s="1" t="str">
        <f>IFERROR(__xludf.DUMMYFUNCTION("split(E129,"" "")"),"Palestine**")</f>
        <v>Palestine**</v>
      </c>
      <c r="H129" s="1" t="str">
        <f>IFERROR(__xludf.DUMMYFUNCTION("""COMPUTED_VALUE"""),"(PS)")</f>
        <v>(PS)</v>
      </c>
      <c r="I129" s="1" t="str">
        <f>vlookup(G129,'All Countries'!$A$1:$B$40,2,false)</f>
        <v>#N/A</v>
      </c>
    </row>
    <row r="130">
      <c r="A130" s="13" t="s">
        <v>661</v>
      </c>
      <c r="B130" s="13" t="s">
        <v>658</v>
      </c>
      <c r="C130" s="13"/>
      <c r="D130" s="13" t="s">
        <v>662</v>
      </c>
      <c r="E130" s="13" t="s">
        <v>660</v>
      </c>
      <c r="F130" s="13" t="s">
        <v>277</v>
      </c>
      <c r="G130" s="1" t="str">
        <f>IFERROR(__xludf.DUMMYFUNCTION("split(E130,"" "")"),"Palestine**")</f>
        <v>Palestine**</v>
      </c>
      <c r="H130" s="1" t="str">
        <f>IFERROR(__xludf.DUMMYFUNCTION("""COMPUTED_VALUE"""),"(PS)")</f>
        <v>(PS)</v>
      </c>
      <c r="I130" s="1" t="str">
        <f>vlookup(G130,'All Countries'!$A$1:$B$40,2,false)</f>
        <v>#N/A</v>
      </c>
    </row>
    <row r="131">
      <c r="A131" s="13" t="s">
        <v>663</v>
      </c>
      <c r="B131" s="13" t="s">
        <v>664</v>
      </c>
      <c r="C131" s="13"/>
      <c r="D131" s="13" t="s">
        <v>665</v>
      </c>
      <c r="E131" s="13" t="s">
        <v>660</v>
      </c>
      <c r="F131" s="13" t="s">
        <v>277</v>
      </c>
      <c r="G131" s="1" t="str">
        <f>IFERROR(__xludf.DUMMYFUNCTION("split(E131,"" "")"),"Palestine**")</f>
        <v>Palestine**</v>
      </c>
      <c r="H131" s="1" t="str">
        <f>IFERROR(__xludf.DUMMYFUNCTION("""COMPUTED_VALUE"""),"(PS)")</f>
        <v>(PS)</v>
      </c>
      <c r="I131" s="1" t="str">
        <f>vlookup(G131,'All Countries'!$A$1:$B$40,2,false)</f>
        <v>#N/A</v>
      </c>
    </row>
    <row r="132">
      <c r="A132" s="13" t="s">
        <v>666</v>
      </c>
      <c r="B132" s="13" t="s">
        <v>667</v>
      </c>
      <c r="C132" s="13"/>
      <c r="D132" s="13" t="s">
        <v>156</v>
      </c>
      <c r="E132" s="13" t="s">
        <v>668</v>
      </c>
      <c r="F132" s="13" t="s">
        <v>287</v>
      </c>
      <c r="G132" s="1" t="str">
        <f>IFERROR(__xludf.DUMMYFUNCTION("split(E132,"" "")"),"Poland")</f>
        <v>Poland</v>
      </c>
      <c r="H132" s="1" t="str">
        <f>IFERROR(__xludf.DUMMYFUNCTION("""COMPUTED_VALUE"""),"(PL)")</f>
        <v>(PL)</v>
      </c>
      <c r="I132" s="1" t="str">
        <f>vlookup(G132,'All Countries'!$A$1:$B$40,2,false)</f>
        <v>Poland</v>
      </c>
    </row>
    <row r="133">
      <c r="A133" s="13" t="s">
        <v>669</v>
      </c>
      <c r="B133" s="13" t="s">
        <v>670</v>
      </c>
      <c r="C133" s="13"/>
      <c r="D133" s="13" t="s">
        <v>671</v>
      </c>
      <c r="E133" s="13" t="s">
        <v>668</v>
      </c>
      <c r="F133" s="13" t="s">
        <v>277</v>
      </c>
      <c r="G133" s="1" t="str">
        <f>IFERROR(__xludf.DUMMYFUNCTION("split(E133,"" "")"),"Poland")</f>
        <v>Poland</v>
      </c>
      <c r="H133" s="1" t="str">
        <f>IFERROR(__xludf.DUMMYFUNCTION("""COMPUTED_VALUE"""),"(PL)")</f>
        <v>(PL)</v>
      </c>
      <c r="I133" s="1" t="str">
        <f>vlookup(G133,'All Countries'!$A$1:$B$40,2,false)</f>
        <v>Poland</v>
      </c>
    </row>
    <row r="134">
      <c r="A134" s="13" t="s">
        <v>537</v>
      </c>
      <c r="B134" s="13" t="s">
        <v>672</v>
      </c>
      <c r="C134" s="13"/>
      <c r="D134" s="13" t="s">
        <v>673</v>
      </c>
      <c r="E134" s="13" t="s">
        <v>668</v>
      </c>
      <c r="F134" s="13" t="s">
        <v>287</v>
      </c>
      <c r="G134" s="1" t="str">
        <f>IFERROR(__xludf.DUMMYFUNCTION("split(E134,"" "")"),"Poland")</f>
        <v>Poland</v>
      </c>
      <c r="H134" s="1" t="str">
        <f>IFERROR(__xludf.DUMMYFUNCTION("""COMPUTED_VALUE"""),"(PL)")</f>
        <v>(PL)</v>
      </c>
      <c r="I134" s="1" t="str">
        <f>vlookup(G134,'All Countries'!$A$1:$B$40,2,false)</f>
        <v>Poland</v>
      </c>
    </row>
    <row r="135">
      <c r="A135" s="13" t="s">
        <v>674</v>
      </c>
      <c r="B135" s="13" t="s">
        <v>675</v>
      </c>
      <c r="C135" s="13"/>
      <c r="D135" s="13" t="s">
        <v>152</v>
      </c>
      <c r="E135" s="13" t="s">
        <v>668</v>
      </c>
      <c r="F135" s="13" t="s">
        <v>277</v>
      </c>
      <c r="G135" s="1" t="str">
        <f>IFERROR(__xludf.DUMMYFUNCTION("split(E135,"" "")"),"Poland")</f>
        <v>Poland</v>
      </c>
      <c r="H135" s="1" t="str">
        <f>IFERROR(__xludf.DUMMYFUNCTION("""COMPUTED_VALUE"""),"(PL)")</f>
        <v>(PL)</v>
      </c>
      <c r="I135" s="1" t="str">
        <f>vlookup(G135,'All Countries'!$A$1:$B$40,2,false)</f>
        <v>Poland</v>
      </c>
    </row>
    <row r="136">
      <c r="A136" s="13" t="s">
        <v>676</v>
      </c>
      <c r="B136" s="13" t="s">
        <v>677</v>
      </c>
      <c r="C136" s="13"/>
      <c r="D136" s="13" t="s">
        <v>678</v>
      </c>
      <c r="E136" s="13" t="s">
        <v>679</v>
      </c>
      <c r="F136" s="13" t="s">
        <v>287</v>
      </c>
      <c r="G136" s="1" t="str">
        <f>IFERROR(__xludf.DUMMYFUNCTION("split(E136,"" "")"),"Portugal")</f>
        <v>Portugal</v>
      </c>
      <c r="H136" s="1" t="str">
        <f>IFERROR(__xludf.DUMMYFUNCTION("""COMPUTED_VALUE"""),"(PT)")</f>
        <v>(PT)</v>
      </c>
      <c r="I136" s="1" t="str">
        <f>vlookup(G136,'All Countries'!$A$1:$B$40,2,false)</f>
        <v>Portugal</v>
      </c>
    </row>
    <row r="137">
      <c r="A137" s="13" t="s">
        <v>680</v>
      </c>
      <c r="B137" s="13" t="s">
        <v>681</v>
      </c>
      <c r="C137" s="13"/>
      <c r="D137" s="13" t="s">
        <v>682</v>
      </c>
      <c r="E137" s="13" t="s">
        <v>679</v>
      </c>
      <c r="F137" s="13" t="s">
        <v>287</v>
      </c>
      <c r="G137" s="1" t="str">
        <f>IFERROR(__xludf.DUMMYFUNCTION("split(E137,"" "")"),"Portugal")</f>
        <v>Portugal</v>
      </c>
      <c r="H137" s="1" t="str">
        <f>IFERROR(__xludf.DUMMYFUNCTION("""COMPUTED_VALUE"""),"(PT)")</f>
        <v>(PT)</v>
      </c>
      <c r="I137" s="1" t="str">
        <f>vlookup(G137,'All Countries'!$A$1:$B$40,2,false)</f>
        <v>Portugal</v>
      </c>
    </row>
    <row r="138">
      <c r="A138" s="13" t="s">
        <v>683</v>
      </c>
      <c r="B138" s="13" t="s">
        <v>684</v>
      </c>
      <c r="C138" s="13"/>
      <c r="D138" s="13" t="s">
        <v>685</v>
      </c>
      <c r="E138" s="13" t="s">
        <v>679</v>
      </c>
      <c r="F138" s="13" t="s">
        <v>277</v>
      </c>
      <c r="G138" s="1" t="str">
        <f>IFERROR(__xludf.DUMMYFUNCTION("split(E138,"" "")"),"Portugal")</f>
        <v>Portugal</v>
      </c>
      <c r="H138" s="1" t="str">
        <f>IFERROR(__xludf.DUMMYFUNCTION("""COMPUTED_VALUE"""),"(PT)")</f>
        <v>(PT)</v>
      </c>
      <c r="I138" s="1" t="str">
        <f>vlookup(G138,'All Countries'!$A$1:$B$40,2,false)</f>
        <v>Portugal</v>
      </c>
    </row>
    <row r="139">
      <c r="A139" s="13" t="s">
        <v>686</v>
      </c>
      <c r="B139" s="13" t="s">
        <v>687</v>
      </c>
      <c r="C139" s="13"/>
      <c r="D139" s="13" t="s">
        <v>160</v>
      </c>
      <c r="E139" s="13" t="s">
        <v>679</v>
      </c>
      <c r="F139" s="13" t="s">
        <v>277</v>
      </c>
      <c r="G139" s="1" t="str">
        <f>IFERROR(__xludf.DUMMYFUNCTION("split(E139,"" "")"),"Portugal")</f>
        <v>Portugal</v>
      </c>
      <c r="H139" s="1" t="str">
        <f>IFERROR(__xludf.DUMMYFUNCTION("""COMPUTED_VALUE"""),"(PT)")</f>
        <v>(PT)</v>
      </c>
      <c r="I139" s="1" t="str">
        <f>vlookup(G139,'All Countries'!$A$1:$B$40,2,false)</f>
        <v>Portugal</v>
      </c>
    </row>
    <row r="140">
      <c r="A140" s="13" t="s">
        <v>688</v>
      </c>
      <c r="B140" s="13" t="s">
        <v>689</v>
      </c>
      <c r="C140" s="13"/>
      <c r="D140" s="13" t="s">
        <v>690</v>
      </c>
      <c r="E140" s="13" t="s">
        <v>679</v>
      </c>
      <c r="F140" s="13" t="s">
        <v>277</v>
      </c>
      <c r="G140" s="1" t="str">
        <f>IFERROR(__xludf.DUMMYFUNCTION("split(E140,"" "")"),"Portugal")</f>
        <v>Portugal</v>
      </c>
      <c r="H140" s="1" t="str">
        <f>IFERROR(__xludf.DUMMYFUNCTION("""COMPUTED_VALUE"""),"(PT)")</f>
        <v>(PT)</v>
      </c>
      <c r="I140" s="1" t="str">
        <f>vlookup(G140,'All Countries'!$A$1:$B$40,2,false)</f>
        <v>Portugal</v>
      </c>
    </row>
    <row r="141">
      <c r="A141" s="13" t="s">
        <v>691</v>
      </c>
      <c r="B141" s="13" t="s">
        <v>692</v>
      </c>
      <c r="C141" s="13"/>
      <c r="D141" s="13" t="s">
        <v>693</v>
      </c>
      <c r="E141" s="13" t="s">
        <v>679</v>
      </c>
      <c r="F141" s="13" t="s">
        <v>277</v>
      </c>
      <c r="G141" s="1" t="str">
        <f>IFERROR(__xludf.DUMMYFUNCTION("split(E141,"" "")"),"Portugal")</f>
        <v>Portugal</v>
      </c>
      <c r="H141" s="1" t="str">
        <f>IFERROR(__xludf.DUMMYFUNCTION("""COMPUTED_VALUE"""),"(PT)")</f>
        <v>(PT)</v>
      </c>
      <c r="I141" s="1" t="str">
        <f>vlookup(G141,'All Countries'!$A$1:$B$40,2,false)</f>
        <v>Portugal</v>
      </c>
    </row>
    <row r="142">
      <c r="A142" s="13" t="s">
        <v>694</v>
      </c>
      <c r="B142" s="13" t="s">
        <v>695</v>
      </c>
      <c r="C142" s="13"/>
      <c r="D142" s="15" t="s">
        <v>696</v>
      </c>
      <c r="E142" s="13" t="s">
        <v>697</v>
      </c>
      <c r="F142" s="13" t="s">
        <v>277</v>
      </c>
      <c r="G142" s="1" t="str">
        <f>IFERROR(__xludf.DUMMYFUNCTION("split(E142,"" "")"),"Romania")</f>
        <v>Romania</v>
      </c>
      <c r="H142" s="1" t="str">
        <f>IFERROR(__xludf.DUMMYFUNCTION("""COMPUTED_VALUE"""),"(RO)")</f>
        <v>(RO)</v>
      </c>
      <c r="I142" s="1" t="str">
        <f>vlookup(G142,'All Countries'!$A$1:$B$40,2,false)</f>
        <v>Romania</v>
      </c>
    </row>
    <row r="143">
      <c r="A143" s="13" t="s">
        <v>698</v>
      </c>
      <c r="B143" s="13" t="s">
        <v>699</v>
      </c>
      <c r="C143" s="13"/>
      <c r="D143" s="13" t="s">
        <v>700</v>
      </c>
      <c r="E143" s="13" t="s">
        <v>697</v>
      </c>
      <c r="F143" s="13" t="s">
        <v>277</v>
      </c>
      <c r="G143" s="1" t="str">
        <f>IFERROR(__xludf.DUMMYFUNCTION("split(E143,"" "")"),"Romania")</f>
        <v>Romania</v>
      </c>
      <c r="H143" s="1" t="str">
        <f>IFERROR(__xludf.DUMMYFUNCTION("""COMPUTED_VALUE"""),"(RO)")</f>
        <v>(RO)</v>
      </c>
      <c r="I143" s="1" t="str">
        <f>vlookup(G143,'All Countries'!$A$1:$B$40,2,false)</f>
        <v>Romania</v>
      </c>
    </row>
    <row r="144">
      <c r="A144" s="13" t="s">
        <v>701</v>
      </c>
      <c r="B144" s="13" t="s">
        <v>702</v>
      </c>
      <c r="C144" s="13"/>
      <c r="D144" s="13" t="s">
        <v>703</v>
      </c>
      <c r="E144" s="13" t="s">
        <v>697</v>
      </c>
      <c r="F144" s="13" t="s">
        <v>277</v>
      </c>
      <c r="G144" s="1" t="str">
        <f>IFERROR(__xludf.DUMMYFUNCTION("split(E144,"" "")"),"Romania")</f>
        <v>Romania</v>
      </c>
      <c r="H144" s="1" t="str">
        <f>IFERROR(__xludf.DUMMYFUNCTION("""COMPUTED_VALUE"""),"(RO)")</f>
        <v>(RO)</v>
      </c>
      <c r="I144" s="1" t="str">
        <f>vlookup(G144,'All Countries'!$A$1:$B$40,2,false)</f>
        <v>Romania</v>
      </c>
    </row>
    <row r="145">
      <c r="A145" s="13" t="s">
        <v>704</v>
      </c>
      <c r="B145" s="13" t="s">
        <v>705</v>
      </c>
      <c r="C145" s="13"/>
      <c r="D145" s="13" t="s">
        <v>183</v>
      </c>
      <c r="E145" s="13" t="s">
        <v>697</v>
      </c>
      <c r="F145" s="13" t="s">
        <v>287</v>
      </c>
      <c r="G145" s="1" t="str">
        <f>IFERROR(__xludf.DUMMYFUNCTION("split(E145,"" "")"),"Romania")</f>
        <v>Romania</v>
      </c>
      <c r="H145" s="1" t="str">
        <f>IFERROR(__xludf.DUMMYFUNCTION("""COMPUTED_VALUE"""),"(RO)")</f>
        <v>(RO)</v>
      </c>
      <c r="I145" s="1" t="str">
        <f>vlookup(G145,'All Countries'!$A$1:$B$40,2,false)</f>
        <v>Romania</v>
      </c>
    </row>
    <row r="146">
      <c r="A146" s="13" t="s">
        <v>706</v>
      </c>
      <c r="B146" s="13" t="s">
        <v>707</v>
      </c>
      <c r="C146" s="13"/>
      <c r="D146" s="13" t="s">
        <v>708</v>
      </c>
      <c r="E146" s="13" t="s">
        <v>697</v>
      </c>
      <c r="F146" s="13" t="s">
        <v>277</v>
      </c>
      <c r="G146" s="1" t="str">
        <f>IFERROR(__xludf.DUMMYFUNCTION("split(E146,"" "")"),"Romania")</f>
        <v>Romania</v>
      </c>
      <c r="H146" s="1" t="str">
        <f>IFERROR(__xludf.DUMMYFUNCTION("""COMPUTED_VALUE"""),"(RO)")</f>
        <v>(RO)</v>
      </c>
      <c r="I146" s="1" t="str">
        <f>vlookup(G146,'All Countries'!$A$1:$B$40,2,false)</f>
        <v>Romania</v>
      </c>
    </row>
    <row r="147">
      <c r="A147" s="13" t="s">
        <v>709</v>
      </c>
      <c r="B147" s="13" t="s">
        <v>710</v>
      </c>
      <c r="C147" s="13"/>
      <c r="D147" s="13" t="s">
        <v>185</v>
      </c>
      <c r="E147" s="13" t="s">
        <v>697</v>
      </c>
      <c r="F147" s="13" t="s">
        <v>277</v>
      </c>
      <c r="G147" s="1" t="str">
        <f>IFERROR(__xludf.DUMMYFUNCTION("split(E147,"" "")"),"Romania")</f>
        <v>Romania</v>
      </c>
      <c r="H147" s="1" t="str">
        <f>IFERROR(__xludf.DUMMYFUNCTION("""COMPUTED_VALUE"""),"(RO)")</f>
        <v>(RO)</v>
      </c>
      <c r="I147" s="1" t="str">
        <f>vlookup(G147,'All Countries'!$A$1:$B$40,2,false)</f>
        <v>Romania</v>
      </c>
    </row>
    <row r="148">
      <c r="A148" s="13" t="s">
        <v>711</v>
      </c>
      <c r="B148" s="13" t="s">
        <v>712</v>
      </c>
      <c r="C148" s="13"/>
      <c r="D148" s="13" t="s">
        <v>177</v>
      </c>
      <c r="E148" s="13" t="s">
        <v>697</v>
      </c>
      <c r="F148" s="13" t="s">
        <v>287</v>
      </c>
      <c r="G148" s="1" t="str">
        <f>IFERROR(__xludf.DUMMYFUNCTION("split(E148,"" "")"),"Romania")</f>
        <v>Romania</v>
      </c>
      <c r="H148" s="1" t="str">
        <f>IFERROR(__xludf.DUMMYFUNCTION("""COMPUTED_VALUE"""),"(RO)")</f>
        <v>(RO)</v>
      </c>
      <c r="I148" s="1" t="str">
        <f>vlookup(G148,'All Countries'!$A$1:$B$40,2,false)</f>
        <v>Romania</v>
      </c>
    </row>
    <row r="149">
      <c r="A149" s="13" t="s">
        <v>713</v>
      </c>
      <c r="B149" s="13" t="s">
        <v>714</v>
      </c>
      <c r="C149" s="13"/>
      <c r="D149" s="13" t="s">
        <v>168</v>
      </c>
      <c r="E149" s="13" t="s">
        <v>697</v>
      </c>
      <c r="F149" s="13" t="s">
        <v>277</v>
      </c>
      <c r="G149" s="1" t="str">
        <f>IFERROR(__xludf.DUMMYFUNCTION("split(E149,"" "")"),"Romania")</f>
        <v>Romania</v>
      </c>
      <c r="H149" s="1" t="str">
        <f>IFERROR(__xludf.DUMMYFUNCTION("""COMPUTED_VALUE"""),"(RO)")</f>
        <v>(RO)</v>
      </c>
      <c r="I149" s="1" t="str">
        <f>vlookup(G149,'All Countries'!$A$1:$B$40,2,false)</f>
        <v>Romania</v>
      </c>
    </row>
    <row r="150">
      <c r="A150" s="13" t="s">
        <v>600</v>
      </c>
      <c r="B150" s="13" t="s">
        <v>715</v>
      </c>
      <c r="C150" s="13"/>
      <c r="D150" s="15" t="s">
        <v>716</v>
      </c>
      <c r="E150" s="13" t="s">
        <v>697</v>
      </c>
      <c r="F150" s="13" t="s">
        <v>277</v>
      </c>
      <c r="G150" s="1" t="str">
        <f>IFERROR(__xludf.DUMMYFUNCTION("split(E150,"" "")"),"Romania")</f>
        <v>Romania</v>
      </c>
      <c r="H150" s="1" t="str">
        <f>IFERROR(__xludf.DUMMYFUNCTION("""COMPUTED_VALUE"""),"(RO)")</f>
        <v>(RO)</v>
      </c>
      <c r="I150" s="1" t="str">
        <f>vlookup(G150,'All Countries'!$A$1:$B$40,2,false)</f>
        <v>Romania</v>
      </c>
    </row>
    <row r="151">
      <c r="A151" s="13" t="s">
        <v>717</v>
      </c>
      <c r="B151" s="13" t="s">
        <v>718</v>
      </c>
      <c r="C151" s="13"/>
      <c r="D151" s="13" t="s">
        <v>173</v>
      </c>
      <c r="E151" s="13" t="s">
        <v>697</v>
      </c>
      <c r="F151" s="13" t="s">
        <v>277</v>
      </c>
      <c r="G151" s="1" t="str">
        <f>IFERROR(__xludf.DUMMYFUNCTION("split(E151,"" "")"),"Romania")</f>
        <v>Romania</v>
      </c>
      <c r="H151" s="1" t="str">
        <f>IFERROR(__xludf.DUMMYFUNCTION("""COMPUTED_VALUE"""),"(RO)")</f>
        <v>(RO)</v>
      </c>
      <c r="I151" s="1" t="str">
        <f>vlookup(G151,'All Countries'!$A$1:$B$40,2,false)</f>
        <v>Romania</v>
      </c>
    </row>
    <row r="152">
      <c r="A152" s="13" t="s">
        <v>719</v>
      </c>
      <c r="B152" s="13" t="s">
        <v>720</v>
      </c>
      <c r="C152" s="13"/>
      <c r="D152" s="13" t="s">
        <v>721</v>
      </c>
      <c r="E152" s="13" t="s">
        <v>722</v>
      </c>
      <c r="F152" s="13" t="s">
        <v>277</v>
      </c>
      <c r="G152" s="1" t="str">
        <f>IFERROR(__xludf.DUMMYFUNCTION("split(E152,"" "")"),"Serbia")</f>
        <v>Serbia</v>
      </c>
      <c r="H152" s="1" t="str">
        <f>IFERROR(__xludf.DUMMYFUNCTION("""COMPUTED_VALUE"""),"(RS)")</f>
        <v>(RS)</v>
      </c>
      <c r="I152" s="1" t="str">
        <f>vlookup(G152,'All Countries'!$A$1:$B$40,2,false)</f>
        <v>Serbia</v>
      </c>
    </row>
    <row r="153">
      <c r="A153" s="13" t="s">
        <v>723</v>
      </c>
      <c r="B153" s="13" t="s">
        <v>724</v>
      </c>
      <c r="C153" s="13"/>
      <c r="D153" s="17" t="s">
        <v>725</v>
      </c>
      <c r="E153" s="13" t="s">
        <v>722</v>
      </c>
      <c r="F153" s="13" t="s">
        <v>287</v>
      </c>
      <c r="G153" s="1" t="str">
        <f>IFERROR(__xludf.DUMMYFUNCTION("split(E153,"" "")"),"Serbia")</f>
        <v>Serbia</v>
      </c>
      <c r="H153" s="1" t="str">
        <f>IFERROR(__xludf.DUMMYFUNCTION("""COMPUTED_VALUE"""),"(RS)")</f>
        <v>(RS)</v>
      </c>
      <c r="I153" s="1" t="str">
        <f>vlookup(G153,'All Countries'!$A$1:$B$40,2,false)</f>
        <v>Serbia</v>
      </c>
    </row>
    <row r="154">
      <c r="A154" s="13" t="s">
        <v>726</v>
      </c>
      <c r="B154" s="13" t="s">
        <v>727</v>
      </c>
      <c r="C154" s="13"/>
      <c r="D154" s="13" t="s">
        <v>191</v>
      </c>
      <c r="E154" s="13" t="s">
        <v>722</v>
      </c>
      <c r="F154" s="13" t="s">
        <v>277</v>
      </c>
      <c r="G154" s="1" t="str">
        <f>IFERROR(__xludf.DUMMYFUNCTION("split(E154,"" "")"),"Serbia")</f>
        <v>Serbia</v>
      </c>
      <c r="H154" s="1" t="str">
        <f>IFERROR(__xludf.DUMMYFUNCTION("""COMPUTED_VALUE"""),"(RS)")</f>
        <v>(RS)</v>
      </c>
      <c r="I154" s="1" t="str">
        <f>vlookup(G154,'All Countries'!$A$1:$B$40,2,false)</f>
        <v>Serbia</v>
      </c>
    </row>
    <row r="155">
      <c r="A155" s="13" t="s">
        <v>728</v>
      </c>
      <c r="B155" s="13" t="s">
        <v>729</v>
      </c>
      <c r="C155" s="13"/>
      <c r="D155" s="13" t="s">
        <v>730</v>
      </c>
      <c r="E155" s="13" t="s">
        <v>722</v>
      </c>
      <c r="F155" s="13" t="s">
        <v>277</v>
      </c>
      <c r="G155" s="1" t="str">
        <f>IFERROR(__xludf.DUMMYFUNCTION("split(E155,"" "")"),"Serbia")</f>
        <v>Serbia</v>
      </c>
      <c r="H155" s="1" t="str">
        <f>IFERROR(__xludf.DUMMYFUNCTION("""COMPUTED_VALUE"""),"(RS)")</f>
        <v>(RS)</v>
      </c>
      <c r="I155" s="1" t="str">
        <f>vlookup(G155,'All Countries'!$A$1:$B$40,2,false)</f>
        <v>Serbia</v>
      </c>
    </row>
    <row r="156">
      <c r="A156" s="13" t="s">
        <v>731</v>
      </c>
      <c r="B156" s="13" t="s">
        <v>732</v>
      </c>
      <c r="C156" s="13"/>
      <c r="D156" s="13" t="s">
        <v>217</v>
      </c>
      <c r="E156" s="13" t="s">
        <v>722</v>
      </c>
      <c r="F156" s="13" t="s">
        <v>287</v>
      </c>
      <c r="G156" s="1" t="str">
        <f>IFERROR(__xludf.DUMMYFUNCTION("split(E156,"" "")"),"Serbia")</f>
        <v>Serbia</v>
      </c>
      <c r="H156" s="1" t="str">
        <f>IFERROR(__xludf.DUMMYFUNCTION("""COMPUTED_VALUE"""),"(RS)")</f>
        <v>(RS)</v>
      </c>
      <c r="I156" s="1" t="str">
        <f>vlookup(G156,'All Countries'!$A$1:$B$40,2,false)</f>
        <v>Serbia</v>
      </c>
    </row>
    <row r="157">
      <c r="A157" s="13" t="s">
        <v>733</v>
      </c>
      <c r="B157" s="13" t="s">
        <v>734</v>
      </c>
      <c r="C157" s="13"/>
      <c r="D157" s="13" t="s">
        <v>85</v>
      </c>
      <c r="E157" s="13" t="s">
        <v>735</v>
      </c>
      <c r="F157" s="13" t="s">
        <v>277</v>
      </c>
      <c r="G157" s="1" t="str">
        <f>IFERROR(__xludf.DUMMYFUNCTION("split(E157,"" "")"),"Singapore")</f>
        <v>Singapore</v>
      </c>
      <c r="H157" s="1" t="str">
        <f>IFERROR(__xludf.DUMMYFUNCTION("""COMPUTED_VALUE"""),"(SG)")</f>
        <v>(SG)</v>
      </c>
      <c r="I157" s="1" t="str">
        <f>vlookup(G157,'All Countries'!$A$1:$B$40,2,false)</f>
        <v>#N/A</v>
      </c>
    </row>
    <row r="158">
      <c r="A158" s="13" t="s">
        <v>736</v>
      </c>
      <c r="B158" s="13" t="s">
        <v>737</v>
      </c>
      <c r="C158" s="13"/>
      <c r="D158" s="13" t="s">
        <v>738</v>
      </c>
      <c r="E158" s="13" t="s">
        <v>735</v>
      </c>
      <c r="F158" s="13" t="s">
        <v>277</v>
      </c>
      <c r="G158" s="1" t="str">
        <f>IFERROR(__xludf.DUMMYFUNCTION("split(E158,"" "")"),"Singapore")</f>
        <v>Singapore</v>
      </c>
      <c r="H158" s="1" t="str">
        <f>IFERROR(__xludf.DUMMYFUNCTION("""COMPUTED_VALUE"""),"(SG)")</f>
        <v>(SG)</v>
      </c>
      <c r="I158" s="1" t="str">
        <f>vlookup(G158,'All Countries'!$A$1:$B$40,2,false)</f>
        <v>#N/A</v>
      </c>
    </row>
    <row r="159">
      <c r="A159" s="13" t="s">
        <v>628</v>
      </c>
      <c r="B159" s="13" t="s">
        <v>739</v>
      </c>
      <c r="C159" s="13"/>
      <c r="D159" s="13" t="s">
        <v>740</v>
      </c>
      <c r="E159" s="13" t="s">
        <v>741</v>
      </c>
      <c r="F159" s="13" t="s">
        <v>277</v>
      </c>
      <c r="G159" s="1" t="str">
        <f>IFERROR(__xludf.DUMMYFUNCTION("split(E159,"" "")"),"Slovakia")</f>
        <v>Slovakia</v>
      </c>
      <c r="H159" s="1" t="str">
        <f>IFERROR(__xludf.DUMMYFUNCTION("""COMPUTED_VALUE"""),"(SK)")</f>
        <v>(SK)</v>
      </c>
      <c r="I159" s="1" t="str">
        <f>vlookup(G159,'All Countries'!$A$1:$B$40,2,false)</f>
        <v>#N/A</v>
      </c>
    </row>
    <row r="160">
      <c r="A160" s="13" t="s">
        <v>742</v>
      </c>
      <c r="B160" s="13" t="s">
        <v>743</v>
      </c>
      <c r="C160" s="13"/>
      <c r="D160" s="13" t="s">
        <v>744</v>
      </c>
      <c r="E160" s="13" t="s">
        <v>741</v>
      </c>
      <c r="F160" s="13" t="s">
        <v>287</v>
      </c>
      <c r="G160" s="1" t="str">
        <f>IFERROR(__xludf.DUMMYFUNCTION("split(E160,"" "")"),"Slovakia")</f>
        <v>Slovakia</v>
      </c>
      <c r="H160" s="1" t="str">
        <f>IFERROR(__xludf.DUMMYFUNCTION("""COMPUTED_VALUE"""),"(SK)")</f>
        <v>(SK)</v>
      </c>
      <c r="I160" s="1" t="str">
        <f>vlookup(G160,'All Countries'!$A$1:$B$40,2,false)</f>
        <v>#N/A</v>
      </c>
    </row>
    <row r="161">
      <c r="A161" s="13" t="s">
        <v>745</v>
      </c>
      <c r="B161" s="13" t="s">
        <v>746</v>
      </c>
      <c r="C161" s="13"/>
      <c r="D161" s="13" t="s">
        <v>747</v>
      </c>
      <c r="E161" s="13" t="s">
        <v>741</v>
      </c>
      <c r="F161" s="13" t="s">
        <v>287</v>
      </c>
      <c r="G161" s="1" t="str">
        <f>IFERROR(__xludf.DUMMYFUNCTION("split(E161,"" "")"),"Slovakia")</f>
        <v>Slovakia</v>
      </c>
      <c r="H161" s="1" t="str">
        <f>IFERROR(__xludf.DUMMYFUNCTION("""COMPUTED_VALUE"""),"(SK)")</f>
        <v>(SK)</v>
      </c>
      <c r="I161" s="1" t="str">
        <f>vlookup(G161,'All Countries'!$A$1:$B$40,2,false)</f>
        <v>#N/A</v>
      </c>
    </row>
    <row r="162">
      <c r="A162" s="13" t="s">
        <v>748</v>
      </c>
      <c r="B162" s="13" t="s">
        <v>749</v>
      </c>
      <c r="C162" s="13"/>
      <c r="D162" s="13" t="s">
        <v>750</v>
      </c>
      <c r="E162" s="13" t="s">
        <v>741</v>
      </c>
      <c r="F162" s="13" t="s">
        <v>277</v>
      </c>
      <c r="G162" s="1" t="str">
        <f>IFERROR(__xludf.DUMMYFUNCTION("split(E162,"" "")"),"Slovakia")</f>
        <v>Slovakia</v>
      </c>
      <c r="H162" s="1" t="str">
        <f>IFERROR(__xludf.DUMMYFUNCTION("""COMPUTED_VALUE"""),"(SK)")</f>
        <v>(SK)</v>
      </c>
      <c r="I162" s="1" t="str">
        <f>vlookup(G162,'All Countries'!$A$1:$B$40,2,false)</f>
        <v>#N/A</v>
      </c>
    </row>
    <row r="163">
      <c r="A163" s="13" t="s">
        <v>751</v>
      </c>
      <c r="B163" s="13" t="s">
        <v>752</v>
      </c>
      <c r="C163" s="13"/>
      <c r="D163" s="13" t="s">
        <v>753</v>
      </c>
      <c r="E163" s="13" t="s">
        <v>741</v>
      </c>
      <c r="F163" s="13" t="s">
        <v>277</v>
      </c>
      <c r="G163" s="1" t="str">
        <f>IFERROR(__xludf.DUMMYFUNCTION("split(E163,"" "")"),"Slovakia")</f>
        <v>Slovakia</v>
      </c>
      <c r="H163" s="1" t="str">
        <f>IFERROR(__xludf.DUMMYFUNCTION("""COMPUTED_VALUE"""),"(SK)")</f>
        <v>(SK)</v>
      </c>
      <c r="I163" s="1" t="str">
        <f>vlookup(G163,'All Countries'!$A$1:$B$40,2,false)</f>
        <v>#N/A</v>
      </c>
    </row>
    <row r="164">
      <c r="A164" s="13" t="s">
        <v>754</v>
      </c>
      <c r="B164" s="13" t="s">
        <v>755</v>
      </c>
      <c r="C164" s="13"/>
      <c r="D164" s="13" t="s">
        <v>756</v>
      </c>
      <c r="E164" s="13" t="s">
        <v>741</v>
      </c>
      <c r="F164" s="13" t="s">
        <v>277</v>
      </c>
      <c r="G164" s="1" t="str">
        <f>IFERROR(__xludf.DUMMYFUNCTION("split(E164,"" "")"),"Slovakia")</f>
        <v>Slovakia</v>
      </c>
      <c r="H164" s="1" t="str">
        <f>IFERROR(__xludf.DUMMYFUNCTION("""COMPUTED_VALUE"""),"(SK)")</f>
        <v>(SK)</v>
      </c>
      <c r="I164" s="1" t="str">
        <f>vlookup(G164,'All Countries'!$A$1:$B$40,2,false)</f>
        <v>#N/A</v>
      </c>
    </row>
    <row r="165">
      <c r="A165" s="13" t="s">
        <v>757</v>
      </c>
      <c r="B165" s="13" t="s">
        <v>758</v>
      </c>
      <c r="C165" s="13"/>
      <c r="D165" s="13" t="s">
        <v>195</v>
      </c>
      <c r="E165" s="13" t="s">
        <v>759</v>
      </c>
      <c r="F165" s="13" t="s">
        <v>287</v>
      </c>
      <c r="G165" s="1" t="str">
        <f>IFERROR(__xludf.DUMMYFUNCTION("split(E165,"" "")"),"Slovenia")</f>
        <v>Slovenia</v>
      </c>
      <c r="H165" s="1" t="str">
        <f>IFERROR(__xludf.DUMMYFUNCTION("""COMPUTED_VALUE"""),"(SI)")</f>
        <v>(SI)</v>
      </c>
      <c r="I165" s="1" t="str">
        <f>vlookup(G165,'All Countries'!$A$1:$B$40,2,false)</f>
        <v>Slovenia</v>
      </c>
    </row>
    <row r="166">
      <c r="A166" s="13" t="s">
        <v>760</v>
      </c>
      <c r="B166" s="13" t="s">
        <v>761</v>
      </c>
      <c r="C166" s="13"/>
      <c r="D166" s="13" t="s">
        <v>762</v>
      </c>
      <c r="E166" s="13" t="s">
        <v>759</v>
      </c>
      <c r="F166" s="13" t="s">
        <v>277</v>
      </c>
      <c r="G166" s="1" t="str">
        <f>IFERROR(__xludf.DUMMYFUNCTION("split(E166,"" "")"),"Slovenia")</f>
        <v>Slovenia</v>
      </c>
      <c r="H166" s="1" t="str">
        <f>IFERROR(__xludf.DUMMYFUNCTION("""COMPUTED_VALUE"""),"(SI)")</f>
        <v>(SI)</v>
      </c>
      <c r="I166" s="1" t="str">
        <f>vlookup(G166,'All Countries'!$A$1:$B$40,2,false)</f>
        <v>Slovenia</v>
      </c>
    </row>
    <row r="167">
      <c r="A167" s="13" t="s">
        <v>323</v>
      </c>
      <c r="B167" s="13" t="s">
        <v>763</v>
      </c>
      <c r="C167" s="13"/>
      <c r="D167" s="13" t="s">
        <v>764</v>
      </c>
      <c r="E167" s="13" t="s">
        <v>759</v>
      </c>
      <c r="F167" s="13" t="s">
        <v>277</v>
      </c>
      <c r="G167" s="1" t="str">
        <f>IFERROR(__xludf.DUMMYFUNCTION("split(E167,"" "")"),"Slovenia")</f>
        <v>Slovenia</v>
      </c>
      <c r="H167" s="1" t="str">
        <f>IFERROR(__xludf.DUMMYFUNCTION("""COMPUTED_VALUE"""),"(SI)")</f>
        <v>(SI)</v>
      </c>
      <c r="I167" s="1" t="str">
        <f>vlookup(G167,'All Countries'!$A$1:$B$40,2,false)</f>
        <v>Slovenia</v>
      </c>
    </row>
    <row r="168">
      <c r="A168" s="13" t="s">
        <v>765</v>
      </c>
      <c r="B168" s="13" t="s">
        <v>766</v>
      </c>
      <c r="C168" s="13"/>
      <c r="D168" s="13" t="s">
        <v>199</v>
      </c>
      <c r="E168" s="13" t="s">
        <v>759</v>
      </c>
      <c r="F168" s="13" t="s">
        <v>277</v>
      </c>
      <c r="G168" s="1" t="str">
        <f>IFERROR(__xludf.DUMMYFUNCTION("split(E168,"" "")"),"Slovenia")</f>
        <v>Slovenia</v>
      </c>
      <c r="H168" s="1" t="str">
        <f>IFERROR(__xludf.DUMMYFUNCTION("""COMPUTED_VALUE"""),"(SI)")</f>
        <v>(SI)</v>
      </c>
      <c r="I168" s="1" t="str">
        <f>vlookup(G168,'All Countries'!$A$1:$B$40,2,false)</f>
        <v>Slovenia</v>
      </c>
    </row>
    <row r="169">
      <c r="A169" s="13" t="s">
        <v>767</v>
      </c>
      <c r="B169" s="13" t="s">
        <v>768</v>
      </c>
      <c r="C169" s="13"/>
      <c r="D169" s="13" t="s">
        <v>769</v>
      </c>
      <c r="E169" s="13" t="s">
        <v>770</v>
      </c>
      <c r="F169" s="13" t="s">
        <v>277</v>
      </c>
      <c r="G169" s="1" t="str">
        <f>IFERROR(__xludf.DUMMYFUNCTION("split(E169,"" "")"),"Spain")</f>
        <v>Spain</v>
      </c>
      <c r="H169" s="1" t="str">
        <f>IFERROR(__xludf.DUMMYFUNCTION("""COMPUTED_VALUE"""),"(ES)")</f>
        <v>(ES)</v>
      </c>
      <c r="I169" s="1" t="str">
        <f>vlookup(G169,'All Countries'!$A$1:$B$40,2,false)</f>
        <v>Spain</v>
      </c>
    </row>
    <row r="170">
      <c r="A170" s="13" t="s">
        <v>771</v>
      </c>
      <c r="B170" s="15" t="s">
        <v>772</v>
      </c>
      <c r="C170" s="13"/>
      <c r="D170" s="13" t="s">
        <v>773</v>
      </c>
      <c r="E170" s="13" t="s">
        <v>770</v>
      </c>
      <c r="F170" s="13" t="s">
        <v>277</v>
      </c>
      <c r="G170" s="1" t="str">
        <f>IFERROR(__xludf.DUMMYFUNCTION("split(E170,"" "")"),"Spain")</f>
        <v>Spain</v>
      </c>
      <c r="H170" s="1" t="str">
        <f>IFERROR(__xludf.DUMMYFUNCTION("""COMPUTED_VALUE"""),"(ES)")</f>
        <v>(ES)</v>
      </c>
      <c r="I170" s="1" t="str">
        <f>vlookup(G170,'All Countries'!$A$1:$B$40,2,false)</f>
        <v>Spain</v>
      </c>
    </row>
    <row r="171">
      <c r="A171" s="13" t="s">
        <v>774</v>
      </c>
      <c r="B171" s="13" t="s">
        <v>775</v>
      </c>
      <c r="C171" s="13"/>
      <c r="D171" s="13" t="s">
        <v>776</v>
      </c>
      <c r="E171" s="13" t="s">
        <v>770</v>
      </c>
      <c r="F171" s="13" t="s">
        <v>277</v>
      </c>
      <c r="G171" s="1" t="str">
        <f>IFERROR(__xludf.DUMMYFUNCTION("split(E171,"" "")"),"Spain")</f>
        <v>Spain</v>
      </c>
      <c r="H171" s="1" t="str">
        <f>IFERROR(__xludf.DUMMYFUNCTION("""COMPUTED_VALUE"""),"(ES)")</f>
        <v>(ES)</v>
      </c>
      <c r="I171" s="1" t="str">
        <f>vlookup(G171,'All Countries'!$A$1:$B$40,2,false)</f>
        <v>Spain</v>
      </c>
    </row>
    <row r="172">
      <c r="A172" s="13" t="s">
        <v>777</v>
      </c>
      <c r="B172" s="13" t="s">
        <v>778</v>
      </c>
      <c r="C172" s="13"/>
      <c r="D172" s="13" t="s">
        <v>201</v>
      </c>
      <c r="E172" s="13" t="s">
        <v>770</v>
      </c>
      <c r="F172" s="13" t="s">
        <v>287</v>
      </c>
      <c r="G172" s="1" t="str">
        <f>IFERROR(__xludf.DUMMYFUNCTION("split(E172,"" "")"),"Spain")</f>
        <v>Spain</v>
      </c>
      <c r="H172" s="1" t="str">
        <f>IFERROR(__xludf.DUMMYFUNCTION("""COMPUTED_VALUE"""),"(ES)")</f>
        <v>(ES)</v>
      </c>
      <c r="I172" s="1" t="str">
        <f>vlookup(G172,'All Countries'!$A$1:$B$40,2,false)</f>
        <v>Spain</v>
      </c>
    </row>
    <row r="173">
      <c r="A173" s="13" t="s">
        <v>779</v>
      </c>
      <c r="B173" s="13" t="s">
        <v>780</v>
      </c>
      <c r="C173" s="13"/>
      <c r="D173" s="13" t="s">
        <v>781</v>
      </c>
      <c r="E173" s="13" t="s">
        <v>770</v>
      </c>
      <c r="F173" s="13" t="s">
        <v>287</v>
      </c>
      <c r="G173" s="1" t="str">
        <f>IFERROR(__xludf.DUMMYFUNCTION("split(E173,"" "")"),"Spain")</f>
        <v>Spain</v>
      </c>
      <c r="H173" s="1" t="str">
        <f>IFERROR(__xludf.DUMMYFUNCTION("""COMPUTED_VALUE"""),"(ES)")</f>
        <v>(ES)</v>
      </c>
      <c r="I173" s="1" t="str">
        <f>vlookup(G173,'All Countries'!$A$1:$B$40,2,false)</f>
        <v>Spain</v>
      </c>
    </row>
    <row r="174">
      <c r="A174" s="13" t="s">
        <v>782</v>
      </c>
      <c r="B174" s="13" t="s">
        <v>783</v>
      </c>
      <c r="C174" s="13"/>
      <c r="D174" s="13" t="s">
        <v>784</v>
      </c>
      <c r="E174" s="13" t="s">
        <v>770</v>
      </c>
      <c r="F174" s="13" t="s">
        <v>277</v>
      </c>
      <c r="G174" s="1" t="str">
        <f>IFERROR(__xludf.DUMMYFUNCTION("split(E174,"" "")"),"Spain")</f>
        <v>Spain</v>
      </c>
      <c r="H174" s="1" t="str">
        <f>IFERROR(__xludf.DUMMYFUNCTION("""COMPUTED_VALUE"""),"(ES)")</f>
        <v>(ES)</v>
      </c>
      <c r="I174" s="1" t="str">
        <f>vlookup(G174,'All Countries'!$A$1:$B$40,2,false)</f>
        <v>Spain</v>
      </c>
    </row>
    <row r="175">
      <c r="A175" s="13" t="s">
        <v>785</v>
      </c>
      <c r="B175" s="13" t="s">
        <v>786</v>
      </c>
      <c r="C175" s="13"/>
      <c r="D175" s="13" t="s">
        <v>787</v>
      </c>
      <c r="E175" s="13" t="s">
        <v>770</v>
      </c>
      <c r="F175" s="13" t="s">
        <v>277</v>
      </c>
      <c r="G175" s="1" t="str">
        <f>IFERROR(__xludf.DUMMYFUNCTION("split(E175,"" "")"),"Spain")</f>
        <v>Spain</v>
      </c>
      <c r="H175" s="1" t="str">
        <f>IFERROR(__xludf.DUMMYFUNCTION("""COMPUTED_VALUE"""),"(ES)")</f>
        <v>(ES)</v>
      </c>
      <c r="I175" s="1" t="str">
        <f>vlookup(G175,'All Countries'!$A$1:$B$40,2,false)</f>
        <v>Spain</v>
      </c>
    </row>
    <row r="176">
      <c r="A176" s="13" t="s">
        <v>788</v>
      </c>
      <c r="B176" s="13" t="s">
        <v>789</v>
      </c>
      <c r="C176" s="13"/>
      <c r="D176" s="13" t="s">
        <v>49</v>
      </c>
      <c r="E176" s="13" t="s">
        <v>770</v>
      </c>
      <c r="F176" s="13" t="s">
        <v>277</v>
      </c>
      <c r="G176" s="1" t="str">
        <f>IFERROR(__xludf.DUMMYFUNCTION("split(E176,"" "")"),"Spain")</f>
        <v>Spain</v>
      </c>
      <c r="H176" s="1" t="str">
        <f>IFERROR(__xludf.DUMMYFUNCTION("""COMPUTED_VALUE"""),"(ES)")</f>
        <v>(ES)</v>
      </c>
      <c r="I176" s="1" t="str">
        <f>vlookup(G176,'All Countries'!$A$1:$B$40,2,false)</f>
        <v>Spain</v>
      </c>
    </row>
    <row r="177">
      <c r="A177" s="13" t="s">
        <v>790</v>
      </c>
      <c r="B177" s="13" t="s">
        <v>791</v>
      </c>
      <c r="C177" s="13"/>
      <c r="D177" s="13" t="s">
        <v>792</v>
      </c>
      <c r="E177" s="13" t="s">
        <v>793</v>
      </c>
      <c r="F177" s="13" t="s">
        <v>287</v>
      </c>
      <c r="G177" s="1" t="str">
        <f>IFERROR(__xludf.DUMMYFUNCTION("split(E177,"" "")"),"Sweden")</f>
        <v>Sweden</v>
      </c>
      <c r="H177" s="1" t="str">
        <f>IFERROR(__xludf.DUMMYFUNCTION("""COMPUTED_VALUE"""),"(SE)")</f>
        <v>(SE)</v>
      </c>
      <c r="I177" s="1" t="str">
        <f>vlookup(G177,'All Countries'!$A$1:$B$40,2,false)</f>
        <v>#N/A</v>
      </c>
    </row>
    <row r="178">
      <c r="A178" s="13" t="s">
        <v>362</v>
      </c>
      <c r="B178" s="13" t="s">
        <v>794</v>
      </c>
      <c r="C178" s="13"/>
      <c r="D178" s="13" t="s">
        <v>795</v>
      </c>
      <c r="E178" s="13" t="s">
        <v>793</v>
      </c>
      <c r="F178" s="13" t="s">
        <v>287</v>
      </c>
      <c r="G178" s="1" t="str">
        <f>IFERROR(__xludf.DUMMYFUNCTION("split(E178,"" "")"),"Sweden")</f>
        <v>Sweden</v>
      </c>
      <c r="H178" s="1" t="str">
        <f>IFERROR(__xludf.DUMMYFUNCTION("""COMPUTED_VALUE"""),"(SE)")</f>
        <v>(SE)</v>
      </c>
      <c r="I178" s="1" t="str">
        <f>vlookup(G178,'All Countries'!$A$1:$B$40,2,false)</f>
        <v>#N/A</v>
      </c>
    </row>
    <row r="179">
      <c r="A179" s="13" t="s">
        <v>796</v>
      </c>
      <c r="B179" s="13" t="s">
        <v>797</v>
      </c>
      <c r="C179" s="13"/>
      <c r="D179" s="13" t="s">
        <v>798</v>
      </c>
      <c r="E179" s="13" t="s">
        <v>793</v>
      </c>
      <c r="F179" s="13" t="s">
        <v>277</v>
      </c>
      <c r="G179" s="1" t="str">
        <f>IFERROR(__xludf.DUMMYFUNCTION("split(E179,"" "")"),"Sweden")</f>
        <v>Sweden</v>
      </c>
      <c r="H179" s="1" t="str">
        <f>IFERROR(__xludf.DUMMYFUNCTION("""COMPUTED_VALUE"""),"(SE)")</f>
        <v>(SE)</v>
      </c>
      <c r="I179" s="1" t="str">
        <f>vlookup(G179,'All Countries'!$A$1:$B$40,2,false)</f>
        <v>#N/A</v>
      </c>
    </row>
    <row r="180">
      <c r="A180" s="13" t="s">
        <v>799</v>
      </c>
      <c r="B180" s="13" t="s">
        <v>800</v>
      </c>
      <c r="C180" s="13"/>
      <c r="D180" s="13" t="s">
        <v>801</v>
      </c>
      <c r="E180" s="13" t="s">
        <v>802</v>
      </c>
      <c r="F180" s="13" t="s">
        <v>277</v>
      </c>
      <c r="G180" s="1" t="str">
        <f>IFERROR(__xludf.DUMMYFUNCTION("split(E180,"" "")"),"Switzerland")</f>
        <v>Switzerland</v>
      </c>
      <c r="H180" s="1" t="str">
        <f>IFERROR(__xludf.DUMMYFUNCTION("""COMPUTED_VALUE"""),"(CH)")</f>
        <v>(CH)</v>
      </c>
      <c r="I180" s="1" t="str">
        <f>vlookup(G180,'All Countries'!$A$1:$B$40,2,false)</f>
        <v>Switzerland</v>
      </c>
    </row>
    <row r="181">
      <c r="A181" s="13" t="s">
        <v>803</v>
      </c>
      <c r="B181" s="13" t="s">
        <v>804</v>
      </c>
      <c r="C181" s="13"/>
      <c r="D181" s="13" t="s">
        <v>210</v>
      </c>
      <c r="E181" s="13" t="s">
        <v>802</v>
      </c>
      <c r="F181" s="13" t="s">
        <v>287</v>
      </c>
      <c r="G181" s="1" t="str">
        <f>IFERROR(__xludf.DUMMYFUNCTION("split(E181,"" "")"),"Switzerland")</f>
        <v>Switzerland</v>
      </c>
      <c r="H181" s="1" t="str">
        <f>IFERROR(__xludf.DUMMYFUNCTION("""COMPUTED_VALUE"""),"(CH)")</f>
        <v>(CH)</v>
      </c>
      <c r="I181" s="1" t="str">
        <f>vlookup(G181,'All Countries'!$A$1:$B$40,2,false)</f>
        <v>Switzerland</v>
      </c>
    </row>
    <row r="182">
      <c r="A182" s="13" t="s">
        <v>805</v>
      </c>
      <c r="B182" s="13" t="s">
        <v>806</v>
      </c>
      <c r="C182" s="13"/>
      <c r="D182" s="13" t="s">
        <v>807</v>
      </c>
      <c r="E182" s="13" t="s">
        <v>802</v>
      </c>
      <c r="F182" s="13" t="s">
        <v>277</v>
      </c>
      <c r="G182" s="1" t="str">
        <f>IFERROR(__xludf.DUMMYFUNCTION("split(E182,"" "")"),"Switzerland")</f>
        <v>Switzerland</v>
      </c>
      <c r="H182" s="1" t="str">
        <f>IFERROR(__xludf.DUMMYFUNCTION("""COMPUTED_VALUE"""),"(CH)")</f>
        <v>(CH)</v>
      </c>
      <c r="I182" s="1" t="str">
        <f>vlookup(G182,'All Countries'!$A$1:$B$40,2,false)</f>
        <v>Switzerland</v>
      </c>
    </row>
    <row r="183">
      <c r="A183" s="13" t="s">
        <v>808</v>
      </c>
      <c r="B183" s="13" t="s">
        <v>809</v>
      </c>
      <c r="C183" s="13"/>
      <c r="D183" s="13" t="s">
        <v>810</v>
      </c>
      <c r="E183" s="13" t="s">
        <v>802</v>
      </c>
      <c r="F183" s="13" t="s">
        <v>277</v>
      </c>
      <c r="G183" s="1" t="str">
        <f>IFERROR(__xludf.DUMMYFUNCTION("split(E183,"" "")"),"Switzerland")</f>
        <v>Switzerland</v>
      </c>
      <c r="H183" s="1" t="str">
        <f>IFERROR(__xludf.DUMMYFUNCTION("""COMPUTED_VALUE"""),"(CH)")</f>
        <v>(CH)</v>
      </c>
      <c r="I183" s="1" t="str">
        <f>vlookup(G183,'All Countries'!$A$1:$B$40,2,false)</f>
        <v>Switzerland</v>
      </c>
    </row>
    <row r="184">
      <c r="A184" s="13" t="s">
        <v>811</v>
      </c>
      <c r="B184" s="13" t="s">
        <v>812</v>
      </c>
      <c r="C184" s="13"/>
      <c r="D184" s="13" t="s">
        <v>813</v>
      </c>
      <c r="E184" s="13" t="s">
        <v>802</v>
      </c>
      <c r="F184" s="13" t="s">
        <v>287</v>
      </c>
      <c r="G184" s="1" t="str">
        <f>IFERROR(__xludf.DUMMYFUNCTION("split(E184,"" "")"),"Switzerland")</f>
        <v>Switzerland</v>
      </c>
      <c r="H184" s="1" t="str">
        <f>IFERROR(__xludf.DUMMYFUNCTION("""COMPUTED_VALUE"""),"(CH)")</f>
        <v>(CH)</v>
      </c>
      <c r="I184" s="1" t="str">
        <f>vlookup(G184,'All Countries'!$A$1:$B$40,2,false)</f>
        <v>Switzerland</v>
      </c>
    </row>
    <row r="185">
      <c r="A185" s="13" t="s">
        <v>814</v>
      </c>
      <c r="B185" s="13" t="s">
        <v>815</v>
      </c>
      <c r="C185" s="13"/>
      <c r="D185" s="13" t="s">
        <v>816</v>
      </c>
      <c r="E185" s="13" t="s">
        <v>802</v>
      </c>
      <c r="F185" s="13" t="s">
        <v>277</v>
      </c>
      <c r="G185" s="1" t="str">
        <f>IFERROR(__xludf.DUMMYFUNCTION("split(E185,"" "")"),"Switzerland")</f>
        <v>Switzerland</v>
      </c>
      <c r="H185" s="1" t="str">
        <f>IFERROR(__xludf.DUMMYFUNCTION("""COMPUTED_VALUE"""),"(CH)")</f>
        <v>(CH)</v>
      </c>
      <c r="I185" s="1" t="str">
        <f>vlookup(G185,'All Countries'!$A$1:$B$40,2,false)</f>
        <v>Switzerland</v>
      </c>
    </row>
    <row r="186">
      <c r="A186" s="13" t="s">
        <v>817</v>
      </c>
      <c r="B186" s="13" t="s">
        <v>818</v>
      </c>
      <c r="C186" s="13"/>
      <c r="D186" s="13" t="s">
        <v>819</v>
      </c>
      <c r="E186" s="13" t="s">
        <v>802</v>
      </c>
      <c r="F186" s="13" t="s">
        <v>277</v>
      </c>
      <c r="G186" s="1" t="str">
        <f>IFERROR(__xludf.DUMMYFUNCTION("split(E186,"" "")"),"Switzerland")</f>
        <v>Switzerland</v>
      </c>
      <c r="H186" s="1" t="str">
        <f>IFERROR(__xludf.DUMMYFUNCTION("""COMPUTED_VALUE"""),"(CH)")</f>
        <v>(CH)</v>
      </c>
      <c r="I186" s="1" t="str">
        <f>vlookup(G186,'All Countries'!$A$1:$B$40,2,false)</f>
        <v>Switzerland</v>
      </c>
    </row>
    <row r="187">
      <c r="A187" s="13" t="s">
        <v>317</v>
      </c>
      <c r="B187" s="13" t="s">
        <v>820</v>
      </c>
      <c r="C187" s="13"/>
      <c r="D187" s="13" t="s">
        <v>821</v>
      </c>
      <c r="E187" s="13" t="s">
        <v>802</v>
      </c>
      <c r="F187" s="13" t="s">
        <v>277</v>
      </c>
      <c r="G187" s="1" t="str">
        <f>IFERROR(__xludf.DUMMYFUNCTION("split(E187,"" "")"),"Switzerland")</f>
        <v>Switzerland</v>
      </c>
      <c r="H187" s="1" t="str">
        <f>IFERROR(__xludf.DUMMYFUNCTION("""COMPUTED_VALUE"""),"(CH)")</f>
        <v>(CH)</v>
      </c>
      <c r="I187" s="1" t="str">
        <f>vlookup(G187,'All Countries'!$A$1:$B$40,2,false)</f>
        <v>Switzerland</v>
      </c>
    </row>
    <row r="188">
      <c r="A188" s="13" t="s">
        <v>822</v>
      </c>
      <c r="B188" s="13" t="s">
        <v>823</v>
      </c>
      <c r="C188" s="13"/>
      <c r="D188" s="13" t="s">
        <v>824</v>
      </c>
      <c r="E188" s="13" t="s">
        <v>825</v>
      </c>
      <c r="F188" s="13" t="s">
        <v>277</v>
      </c>
      <c r="G188" s="1" t="str">
        <f>IFERROR(__xludf.DUMMYFUNCTION("split(E188,"" "")"),"Taiwan")</f>
        <v>Taiwan</v>
      </c>
      <c r="H188" s="1" t="str">
        <f>IFERROR(__xludf.DUMMYFUNCTION("""COMPUTED_VALUE"""),"(TW)")</f>
        <v>(TW)</v>
      </c>
      <c r="I188" s="1" t="str">
        <f>vlookup(G188,'All Countries'!$A$1:$B$40,2,false)</f>
        <v>#N/A</v>
      </c>
    </row>
    <row r="189">
      <c r="A189" s="13" t="s">
        <v>826</v>
      </c>
      <c r="B189" s="13" t="s">
        <v>827</v>
      </c>
      <c r="C189" s="13"/>
      <c r="D189" s="13" t="s">
        <v>828</v>
      </c>
      <c r="E189" s="13" t="s">
        <v>829</v>
      </c>
      <c r="F189" s="13" t="s">
        <v>277</v>
      </c>
      <c r="G189" s="1" t="str">
        <f>IFERROR(__xludf.DUMMYFUNCTION("split(E189,"" "")"),"Turkey")</f>
        <v>Turkey</v>
      </c>
      <c r="H189" s="1" t="str">
        <f>IFERROR(__xludf.DUMMYFUNCTION("""COMPUTED_VALUE"""),"(TR)")</f>
        <v>(TR)</v>
      </c>
      <c r="I189" s="1" t="str">
        <f>vlookup(G189,'All Countries'!$A$1:$B$40,2,false)</f>
        <v>Turkey</v>
      </c>
    </row>
    <row r="190">
      <c r="A190" s="13" t="s">
        <v>830</v>
      </c>
      <c r="B190" s="13" t="s">
        <v>831</v>
      </c>
      <c r="C190" s="13"/>
      <c r="D190" s="13" t="s">
        <v>832</v>
      </c>
      <c r="E190" s="13" t="s">
        <v>829</v>
      </c>
      <c r="F190" s="13" t="s">
        <v>287</v>
      </c>
      <c r="G190" s="1" t="str">
        <f>IFERROR(__xludf.DUMMYFUNCTION("split(E190,"" "")"),"Turkey")</f>
        <v>Turkey</v>
      </c>
      <c r="H190" s="1" t="str">
        <f>IFERROR(__xludf.DUMMYFUNCTION("""COMPUTED_VALUE"""),"(TR)")</f>
        <v>(TR)</v>
      </c>
      <c r="I190" s="1" t="str">
        <f>vlookup(G190,'All Countries'!$A$1:$B$40,2,false)</f>
        <v>Turkey</v>
      </c>
    </row>
    <row r="191">
      <c r="A191" s="13" t="s">
        <v>833</v>
      </c>
      <c r="B191" s="13" t="s">
        <v>834</v>
      </c>
      <c r="C191" s="13"/>
      <c r="D191" s="13" t="s">
        <v>835</v>
      </c>
      <c r="E191" s="13" t="s">
        <v>829</v>
      </c>
      <c r="F191" s="13" t="s">
        <v>277</v>
      </c>
      <c r="G191" s="1" t="str">
        <f>IFERROR(__xludf.DUMMYFUNCTION("split(E191,"" "")"),"Turkey")</f>
        <v>Turkey</v>
      </c>
      <c r="H191" s="1" t="str">
        <f>IFERROR(__xludf.DUMMYFUNCTION("""COMPUTED_VALUE"""),"(TR)")</f>
        <v>(TR)</v>
      </c>
      <c r="I191" s="1" t="str">
        <f>vlookup(G191,'All Countries'!$A$1:$B$40,2,false)</f>
        <v>Turkey</v>
      </c>
    </row>
    <row r="192">
      <c r="A192" s="13" t="s">
        <v>836</v>
      </c>
      <c r="B192" s="13" t="s">
        <v>837</v>
      </c>
      <c r="C192" s="13"/>
      <c r="D192" s="14" t="s">
        <v>230</v>
      </c>
      <c r="E192" s="13" t="s">
        <v>829</v>
      </c>
      <c r="F192" s="13" t="s">
        <v>277</v>
      </c>
      <c r="G192" s="1" t="str">
        <f>IFERROR(__xludf.DUMMYFUNCTION("split(E192,"" "")"),"Turkey")</f>
        <v>Turkey</v>
      </c>
      <c r="H192" s="1" t="str">
        <f>IFERROR(__xludf.DUMMYFUNCTION("""COMPUTED_VALUE"""),"(TR)")</f>
        <v>(TR)</v>
      </c>
      <c r="I192" s="1" t="str">
        <f>vlookup(G192,'All Countries'!$A$1:$B$40,2,false)</f>
        <v>Turkey</v>
      </c>
    </row>
    <row r="193">
      <c r="A193" s="13" t="s">
        <v>838</v>
      </c>
      <c r="B193" s="13" t="s">
        <v>839</v>
      </c>
      <c r="C193" s="13"/>
      <c r="D193" s="13" t="s">
        <v>226</v>
      </c>
      <c r="E193" s="13" t="s">
        <v>829</v>
      </c>
      <c r="F193" s="13" t="s">
        <v>287</v>
      </c>
      <c r="G193" s="1" t="str">
        <f>IFERROR(__xludf.DUMMYFUNCTION("split(E193,"" "")"),"Turkey")</f>
        <v>Turkey</v>
      </c>
      <c r="H193" s="1" t="str">
        <f>IFERROR(__xludf.DUMMYFUNCTION("""COMPUTED_VALUE"""),"(TR)")</f>
        <v>(TR)</v>
      </c>
      <c r="I193" s="1" t="str">
        <f>vlookup(G193,'All Countries'!$A$1:$B$40,2,false)</f>
        <v>Turkey</v>
      </c>
    </row>
    <row r="194">
      <c r="A194" s="13" t="s">
        <v>840</v>
      </c>
      <c r="B194" s="13" t="s">
        <v>841</v>
      </c>
      <c r="C194" s="13"/>
      <c r="D194" s="13" t="s">
        <v>842</v>
      </c>
      <c r="E194" s="13" t="s">
        <v>829</v>
      </c>
      <c r="F194" s="13" t="s">
        <v>277</v>
      </c>
      <c r="G194" s="1" t="str">
        <f>IFERROR(__xludf.DUMMYFUNCTION("split(E194,"" "")"),"Turkey")</f>
        <v>Turkey</v>
      </c>
      <c r="H194" s="1" t="str">
        <f>IFERROR(__xludf.DUMMYFUNCTION("""COMPUTED_VALUE"""),"(TR)")</f>
        <v>(TR)</v>
      </c>
      <c r="I194" s="1" t="str">
        <f>vlookup(G194,'All Countries'!$A$1:$B$40,2,false)</f>
        <v>Turkey</v>
      </c>
    </row>
    <row r="195">
      <c r="A195" s="13" t="s">
        <v>843</v>
      </c>
      <c r="B195" s="13" t="s">
        <v>844</v>
      </c>
      <c r="C195" s="13"/>
      <c r="D195" s="13" t="s">
        <v>845</v>
      </c>
      <c r="E195" s="13" t="s">
        <v>829</v>
      </c>
      <c r="F195" s="13" t="s">
        <v>277</v>
      </c>
      <c r="G195" s="1" t="str">
        <f>IFERROR(__xludf.DUMMYFUNCTION("split(E195,"" "")"),"Turkey")</f>
        <v>Turkey</v>
      </c>
      <c r="H195" s="1" t="str">
        <f>IFERROR(__xludf.DUMMYFUNCTION("""COMPUTED_VALUE"""),"(TR)")</f>
        <v>(TR)</v>
      </c>
      <c r="I195" s="1" t="str">
        <f>vlookup(G195,'All Countries'!$A$1:$B$40,2,false)</f>
        <v>Turkey</v>
      </c>
    </row>
    <row r="196">
      <c r="A196" s="13" t="s">
        <v>846</v>
      </c>
      <c r="B196" s="13" t="s">
        <v>847</v>
      </c>
      <c r="C196" s="13"/>
      <c r="D196" s="13" t="s">
        <v>848</v>
      </c>
      <c r="E196" s="13" t="s">
        <v>829</v>
      </c>
      <c r="F196" s="13" t="s">
        <v>277</v>
      </c>
      <c r="G196" s="1" t="str">
        <f>IFERROR(__xludf.DUMMYFUNCTION("split(E196,"" "")"),"Turkey")</f>
        <v>Turkey</v>
      </c>
      <c r="H196" s="1" t="str">
        <f>IFERROR(__xludf.DUMMYFUNCTION("""COMPUTED_VALUE"""),"(TR)")</f>
        <v>(TR)</v>
      </c>
      <c r="I196" s="1" t="str">
        <f>vlookup(G196,'All Countries'!$A$1:$B$40,2,false)</f>
        <v>Turkey</v>
      </c>
    </row>
    <row r="197">
      <c r="A197" s="13" t="s">
        <v>849</v>
      </c>
      <c r="B197" s="13" t="s">
        <v>850</v>
      </c>
      <c r="C197" s="13"/>
      <c r="D197" s="14" t="s">
        <v>851</v>
      </c>
      <c r="E197" s="13" t="s">
        <v>829</v>
      </c>
      <c r="F197" s="13" t="s">
        <v>277</v>
      </c>
      <c r="G197" s="1" t="str">
        <f>IFERROR(__xludf.DUMMYFUNCTION("split(E197,"" "")"),"Turkey")</f>
        <v>Turkey</v>
      </c>
      <c r="H197" s="1" t="str">
        <f>IFERROR(__xludf.DUMMYFUNCTION("""COMPUTED_VALUE"""),"(TR)")</f>
        <v>(TR)</v>
      </c>
      <c r="I197" s="1" t="str">
        <f>vlookup(G197,'All Countries'!$A$1:$B$40,2,false)</f>
        <v>Turkey</v>
      </c>
    </row>
    <row r="198">
      <c r="A198" s="13" t="s">
        <v>852</v>
      </c>
      <c r="B198" s="13" t="s">
        <v>853</v>
      </c>
      <c r="C198" s="13"/>
      <c r="D198" s="13" t="s">
        <v>854</v>
      </c>
      <c r="E198" s="13" t="s">
        <v>829</v>
      </c>
      <c r="F198" s="13" t="s">
        <v>277</v>
      </c>
      <c r="G198" s="1" t="str">
        <f>IFERROR(__xludf.DUMMYFUNCTION("split(E198,"" "")"),"Turkey")</f>
        <v>Turkey</v>
      </c>
      <c r="H198" s="1" t="str">
        <f>IFERROR(__xludf.DUMMYFUNCTION("""COMPUTED_VALUE"""),"(TR)")</f>
        <v>(TR)</v>
      </c>
      <c r="I198" s="1" t="str">
        <f>vlookup(G198,'All Countries'!$A$1:$B$40,2,false)</f>
        <v>Turkey</v>
      </c>
    </row>
    <row r="199">
      <c r="A199" s="13" t="s">
        <v>855</v>
      </c>
      <c r="B199" s="13" t="s">
        <v>856</v>
      </c>
      <c r="C199" s="13"/>
      <c r="D199" s="13" t="s">
        <v>857</v>
      </c>
      <c r="E199" s="13" t="s">
        <v>829</v>
      </c>
      <c r="F199" s="13" t="s">
        <v>277</v>
      </c>
      <c r="G199" s="1" t="str">
        <f>IFERROR(__xludf.DUMMYFUNCTION("split(E199,"" "")"),"Turkey")</f>
        <v>Turkey</v>
      </c>
      <c r="H199" s="1" t="str">
        <f>IFERROR(__xludf.DUMMYFUNCTION("""COMPUTED_VALUE"""),"(TR)")</f>
        <v>(TR)</v>
      </c>
      <c r="I199" s="1" t="str">
        <f>vlookup(G199,'All Countries'!$A$1:$B$40,2,false)</f>
        <v>Turkey</v>
      </c>
    </row>
    <row r="200">
      <c r="A200" s="13" t="s">
        <v>858</v>
      </c>
      <c r="B200" s="15" t="s">
        <v>859</v>
      </c>
      <c r="C200" s="13"/>
      <c r="D200" s="13" t="s">
        <v>860</v>
      </c>
      <c r="E200" s="13" t="s">
        <v>829</v>
      </c>
      <c r="F200" s="13" t="s">
        <v>277</v>
      </c>
      <c r="G200" s="1" t="str">
        <f>IFERROR(__xludf.DUMMYFUNCTION("split(E200,"" "")"),"Turkey")</f>
        <v>Turkey</v>
      </c>
      <c r="H200" s="1" t="str">
        <f>IFERROR(__xludf.DUMMYFUNCTION("""COMPUTED_VALUE"""),"(TR)")</f>
        <v>(TR)</v>
      </c>
      <c r="I200" s="1" t="str">
        <f>vlookup(G200,'All Countries'!$A$1:$B$40,2,false)</f>
        <v>Turkey</v>
      </c>
    </row>
    <row r="201">
      <c r="A201" s="13" t="s">
        <v>861</v>
      </c>
      <c r="B201" s="13" t="s">
        <v>862</v>
      </c>
      <c r="C201" s="13"/>
      <c r="D201" s="13" t="s">
        <v>863</v>
      </c>
      <c r="E201" s="13" t="s">
        <v>864</v>
      </c>
      <c r="F201" s="13" t="s">
        <v>277</v>
      </c>
      <c r="G201" s="1" t="str">
        <f>IFERROR(__xludf.DUMMYFUNCTION("split(E201,"" "")"),"#REF!")</f>
        <v>#REF!</v>
      </c>
      <c r="H201" s="1"/>
      <c r="I201" s="1" t="str">
        <f>vlookup(G201,'All Countries'!$A$1:$B$40,2,false)</f>
        <v>#REF!</v>
      </c>
    </row>
    <row r="202">
      <c r="A202" s="13" t="s">
        <v>748</v>
      </c>
      <c r="B202" s="13" t="s">
        <v>865</v>
      </c>
      <c r="C202" s="13"/>
      <c r="D202" s="13" t="s">
        <v>866</v>
      </c>
      <c r="E202" s="13" t="s">
        <v>867</v>
      </c>
      <c r="F202" s="13" t="s">
        <v>277</v>
      </c>
      <c r="G202" s="6" t="s">
        <v>236</v>
      </c>
      <c r="I202" s="1" t="str">
        <f>vlookup(G202,'All Countries'!$A$1:$B$40,2,false)</f>
        <v>United Kingdom</v>
      </c>
    </row>
    <row r="203">
      <c r="A203" s="13" t="s">
        <v>868</v>
      </c>
      <c r="B203" s="13" t="s">
        <v>869</v>
      </c>
      <c r="C203" s="13"/>
      <c r="D203" s="13" t="s">
        <v>870</v>
      </c>
      <c r="E203" s="13" t="s">
        <v>867</v>
      </c>
      <c r="F203" s="13" t="s">
        <v>287</v>
      </c>
      <c r="G203" s="6" t="s">
        <v>236</v>
      </c>
      <c r="I203" s="1" t="str">
        <f>vlookup(G203,'All Countries'!$A$1:$B$40,2,false)</f>
        <v>United Kingdom</v>
      </c>
    </row>
    <row r="204">
      <c r="A204" s="13" t="s">
        <v>871</v>
      </c>
      <c r="B204" s="13" t="s">
        <v>872</v>
      </c>
      <c r="C204" s="13"/>
      <c r="D204" s="13" t="s">
        <v>873</v>
      </c>
      <c r="E204" s="13" t="s">
        <v>867</v>
      </c>
      <c r="F204" s="13" t="s">
        <v>277</v>
      </c>
      <c r="G204" s="6" t="s">
        <v>236</v>
      </c>
      <c r="I204" s="1" t="str">
        <f>vlookup(G204,'All Countries'!$A$1:$B$40,2,false)</f>
        <v>United Kingdom</v>
      </c>
    </row>
    <row r="205">
      <c r="A205" s="13" t="s">
        <v>874</v>
      </c>
      <c r="B205" s="13" t="s">
        <v>875</v>
      </c>
      <c r="C205" s="13"/>
      <c r="D205" s="13" t="s">
        <v>238</v>
      </c>
      <c r="E205" s="13" t="s">
        <v>867</v>
      </c>
      <c r="F205" s="13" t="s">
        <v>287</v>
      </c>
      <c r="G205" s="6" t="s">
        <v>236</v>
      </c>
      <c r="I205" s="1" t="str">
        <f>vlookup(G205,'All Countries'!$A$1:$B$40,2,false)</f>
        <v>United Kingdom</v>
      </c>
    </row>
    <row r="206">
      <c r="A206" s="13" t="s">
        <v>876</v>
      </c>
      <c r="B206" s="15" t="s">
        <v>877</v>
      </c>
      <c r="C206" s="13"/>
      <c r="D206" s="13" t="s">
        <v>878</v>
      </c>
      <c r="E206" s="13" t="s">
        <v>867</v>
      </c>
      <c r="F206" s="13" t="s">
        <v>277</v>
      </c>
      <c r="G206" s="6" t="s">
        <v>236</v>
      </c>
      <c r="I206" s="1" t="str">
        <f>vlookup(G206,'All Countries'!$A$1:$B$40,2,false)</f>
        <v>United Kingdom</v>
      </c>
    </row>
    <row r="207">
      <c r="A207" s="13" t="s">
        <v>879</v>
      </c>
      <c r="B207" s="13" t="s">
        <v>880</v>
      </c>
      <c r="C207" s="13"/>
      <c r="D207" s="13" t="s">
        <v>235</v>
      </c>
      <c r="E207" s="13" t="s">
        <v>867</v>
      </c>
      <c r="F207" s="13" t="s">
        <v>277</v>
      </c>
      <c r="G207" s="6" t="s">
        <v>236</v>
      </c>
      <c r="I207" s="1" t="str">
        <f>vlookup(G207,'All Countries'!$A$1:$B$40,2,false)</f>
        <v>United Kingdom</v>
      </c>
    </row>
    <row r="208">
      <c r="A208" s="13" t="s">
        <v>881</v>
      </c>
      <c r="B208" s="13" t="s">
        <v>882</v>
      </c>
      <c r="C208" s="13"/>
      <c r="D208" s="13" t="s">
        <v>883</v>
      </c>
      <c r="E208" s="13" t="s">
        <v>867</v>
      </c>
      <c r="F208" s="13" t="s">
        <v>277</v>
      </c>
      <c r="G208" s="6" t="s">
        <v>236</v>
      </c>
      <c r="I208" s="1" t="str">
        <f>vlookup(G208,'All Countries'!$A$1:$B$40,2,false)</f>
        <v>United Kingdom</v>
      </c>
    </row>
    <row r="209">
      <c r="A209" s="13" t="s">
        <v>884</v>
      </c>
      <c r="B209" s="13" t="s">
        <v>885</v>
      </c>
      <c r="C209" s="13"/>
      <c r="D209" s="13" t="s">
        <v>886</v>
      </c>
      <c r="E209" s="13" t="s">
        <v>867</v>
      </c>
      <c r="F209" s="13" t="s">
        <v>277</v>
      </c>
      <c r="G209" s="6" t="s">
        <v>236</v>
      </c>
      <c r="I209" s="1" t="str">
        <f>vlookup(G209,'All Countries'!$A$1:$B$40,2,false)</f>
        <v>United Kingdom</v>
      </c>
    </row>
    <row r="210">
      <c r="A210" s="13" t="s">
        <v>887</v>
      </c>
      <c r="B210" s="14" t="s">
        <v>888</v>
      </c>
      <c r="C210" s="13"/>
      <c r="D210" s="13" t="s">
        <v>889</v>
      </c>
      <c r="E210" s="13" t="s">
        <v>867</v>
      </c>
      <c r="F210" s="13" t="s">
        <v>277</v>
      </c>
      <c r="G210" s="6" t="s">
        <v>236</v>
      </c>
      <c r="I210" s="1" t="str">
        <f>vlookup(G210,'All Countries'!$A$1:$B$40,2,false)</f>
        <v>United Kingdom</v>
      </c>
    </row>
    <row r="211">
      <c r="A211" s="13" t="s">
        <v>890</v>
      </c>
      <c r="B211" s="13" t="s">
        <v>622</v>
      </c>
      <c r="C211" s="13"/>
      <c r="D211" s="13" t="s">
        <v>891</v>
      </c>
      <c r="E211" s="13" t="s">
        <v>892</v>
      </c>
      <c r="F211" s="13" t="s">
        <v>277</v>
      </c>
      <c r="G211" s="1" t="str">
        <f>IFERROR(__xludf.DUMMYFUNCTION("split(E211,"" "")"),"Vietnam")</f>
        <v>Vietnam</v>
      </c>
      <c r="H211" s="1" t="str">
        <f>IFERROR(__xludf.DUMMYFUNCTION("""COMPUTED_VALUE"""),"(VN)")</f>
        <v>(VN)</v>
      </c>
      <c r="I211" s="1" t="str">
        <f>vlookup(G211,'All Countries'!$A$1:$B$40,2,false)</f>
        <v>#N/A</v>
      </c>
    </row>
    <row r="212">
      <c r="A212" s="13" t="s">
        <v>893</v>
      </c>
      <c r="B212" s="13" t="s">
        <v>894</v>
      </c>
      <c r="C212" s="13"/>
      <c r="D212" s="13" t="s">
        <v>243</v>
      </c>
      <c r="E212" s="13" t="s">
        <v>892</v>
      </c>
      <c r="F212" s="13" t="s">
        <v>277</v>
      </c>
      <c r="G212" s="1" t="str">
        <f>IFERROR(__xludf.DUMMYFUNCTION("split(E212,"" "")"),"Vietnam")</f>
        <v>Vietnam</v>
      </c>
      <c r="H212" s="1" t="str">
        <f>IFERROR(__xludf.DUMMYFUNCTION("""COMPUTED_VALUE"""),"(VN)")</f>
        <v>(VN)</v>
      </c>
      <c r="I212" s="1" t="str">
        <f>vlookup(G212,'All Countries'!$A$1:$B$40,2,false)</f>
        <v>#N/A</v>
      </c>
    </row>
    <row r="213">
      <c r="A213" s="13" t="s">
        <v>895</v>
      </c>
      <c r="B213" s="13" t="s">
        <v>896</v>
      </c>
      <c r="C213" s="13"/>
      <c r="D213" s="13" t="s">
        <v>897</v>
      </c>
      <c r="E213" s="13"/>
      <c r="F213" s="13" t="s">
        <v>287</v>
      </c>
      <c r="G213" s="1" t="str">
        <f>IFERROR(__xludf.DUMMYFUNCTION("split(E213,"" "")"),"#VALUE!")</f>
        <v>#VALUE!</v>
      </c>
      <c r="I213" s="1" t="str">
        <f>vlookup(G213,'All Countries'!$A$1:$B$40,2,false)</f>
        <v>#VALUE!</v>
      </c>
    </row>
    <row r="214">
      <c r="A214" s="13" t="s">
        <v>898</v>
      </c>
      <c r="B214" s="13" t="s">
        <v>899</v>
      </c>
      <c r="C214" s="13"/>
      <c r="D214" s="13" t="s">
        <v>900</v>
      </c>
      <c r="E214" s="13"/>
      <c r="F214" s="13" t="s">
        <v>277</v>
      </c>
      <c r="G214" s="1" t="str">
        <f>IFERROR(__xludf.DUMMYFUNCTION("split(E214,"" "")"),"#VALUE!")</f>
        <v>#VALUE!</v>
      </c>
      <c r="I214" s="1" t="str">
        <f>vlookup(G214,'All Countries'!$A$1:$B$40,2,false)</f>
        <v>#VALUE!</v>
      </c>
    </row>
  </sheetData>
  <autoFilter ref="$D$1:$I$214"/>
  <customSheetViews>
    <customSheetView guid="{5E9939E5-B2F7-4161-B134-781321B44BE1}" filter="1" showAutoFilter="1">
      <autoFilter ref="$E$1:$E$1003"/>
    </customSheetView>
  </customSheetView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66.25"/>
    <col customWidth="1" min="2" max="2" width="14.25"/>
    <col customWidth="1" min="3" max="6" width="20.5"/>
    <col customWidth="1" min="7" max="7" width="23.0"/>
    <col customWidth="1" min="8" max="8" width="26.0"/>
    <col customWidth="1" min="9" max="9" width="21.75"/>
    <col customWidth="1" min="10" max="10" width="16.63"/>
  </cols>
  <sheetData>
    <row r="1">
      <c r="A1" s="18" t="s">
        <v>901</v>
      </c>
    </row>
    <row r="2">
      <c r="A2" s="18" t="s">
        <v>902</v>
      </c>
      <c r="B2" s="18" t="s">
        <v>903</v>
      </c>
      <c r="C2" s="18" t="s">
        <v>904</v>
      </c>
      <c r="D2" s="18" t="s">
        <v>905</v>
      </c>
      <c r="E2" s="18" t="s">
        <v>906</v>
      </c>
      <c r="F2" s="18" t="s">
        <v>907</v>
      </c>
      <c r="G2" s="18" t="s">
        <v>908</v>
      </c>
      <c r="H2" s="18" t="s">
        <v>909</v>
      </c>
      <c r="I2" s="18" t="s">
        <v>910</v>
      </c>
      <c r="J2" s="18" t="s">
        <v>911</v>
      </c>
      <c r="K2" s="18" t="s">
        <v>912</v>
      </c>
    </row>
    <row r="3">
      <c r="A3" s="19" t="s">
        <v>913</v>
      </c>
      <c r="B3" s="2"/>
      <c r="C3" s="2"/>
      <c r="D3" s="2"/>
      <c r="E3" s="2"/>
      <c r="F3" s="2"/>
      <c r="G3" s="2" t="s">
        <v>914</v>
      </c>
      <c r="H3" s="2" t="s">
        <v>914</v>
      </c>
      <c r="I3" s="2" t="s">
        <v>914</v>
      </c>
      <c r="J3" s="2" t="s">
        <v>915</v>
      </c>
      <c r="K3" s="19" t="s">
        <v>916</v>
      </c>
    </row>
    <row r="4">
      <c r="A4" s="1" t="s">
        <v>276</v>
      </c>
      <c r="B4" s="2" t="s">
        <v>917</v>
      </c>
      <c r="C4" s="2" t="s">
        <v>918</v>
      </c>
      <c r="D4" s="2"/>
      <c r="E4" s="2"/>
      <c r="F4" s="2"/>
      <c r="G4" s="2" t="s">
        <v>286</v>
      </c>
      <c r="J4" s="19" t="s">
        <v>919</v>
      </c>
    </row>
    <row r="5">
      <c r="A5" s="1" t="s">
        <v>313</v>
      </c>
      <c r="B5" s="2" t="s">
        <v>920</v>
      </c>
      <c r="C5" s="2"/>
      <c r="D5" s="2"/>
      <c r="E5" s="2"/>
      <c r="F5" s="2"/>
    </row>
    <row r="6">
      <c r="A6" s="1" t="s">
        <v>316</v>
      </c>
      <c r="B6" s="2" t="s">
        <v>917</v>
      </c>
      <c r="C6" s="2" t="s">
        <v>918</v>
      </c>
      <c r="D6" s="2" t="s">
        <v>918</v>
      </c>
      <c r="E6" s="2" t="s">
        <v>918</v>
      </c>
      <c r="F6" s="2"/>
      <c r="G6" s="2" t="s">
        <v>32</v>
      </c>
      <c r="J6" s="19" t="s">
        <v>921</v>
      </c>
    </row>
    <row r="7">
      <c r="A7" s="1" t="s">
        <v>322</v>
      </c>
      <c r="B7" s="2" t="s">
        <v>917</v>
      </c>
      <c r="C7" s="2" t="s">
        <v>918</v>
      </c>
      <c r="E7" s="2" t="s">
        <v>918</v>
      </c>
      <c r="F7" s="2"/>
      <c r="G7" s="17" t="s">
        <v>321</v>
      </c>
      <c r="J7" s="20" t="s">
        <v>922</v>
      </c>
    </row>
    <row r="8">
      <c r="A8" s="1" t="s">
        <v>326</v>
      </c>
      <c r="B8" s="2" t="s">
        <v>917</v>
      </c>
      <c r="C8" s="2" t="s">
        <v>918</v>
      </c>
      <c r="D8" s="2"/>
      <c r="E8" s="2" t="s">
        <v>918</v>
      </c>
      <c r="F8" s="2"/>
      <c r="G8" s="17" t="s">
        <v>329</v>
      </c>
      <c r="H8" s="17" t="s">
        <v>325</v>
      </c>
      <c r="J8" s="16" t="s">
        <v>923</v>
      </c>
    </row>
    <row r="9">
      <c r="A9" s="1" t="s">
        <v>333</v>
      </c>
      <c r="B9" s="2" t="s">
        <v>917</v>
      </c>
      <c r="C9" s="2" t="s">
        <v>918</v>
      </c>
      <c r="D9" s="2" t="s">
        <v>918</v>
      </c>
      <c r="E9" s="2" t="s">
        <v>918</v>
      </c>
      <c r="F9" s="2"/>
      <c r="G9" s="2" t="s">
        <v>339</v>
      </c>
      <c r="J9" s="21" t="s">
        <v>924</v>
      </c>
    </row>
    <row r="10">
      <c r="A10" s="1" t="s">
        <v>346</v>
      </c>
      <c r="B10" s="2" t="s">
        <v>917</v>
      </c>
      <c r="C10" s="2" t="s">
        <v>918</v>
      </c>
      <c r="D10" s="2"/>
      <c r="E10" s="2" t="s">
        <v>918</v>
      </c>
      <c r="F10" s="2"/>
      <c r="G10" s="2" t="s">
        <v>36</v>
      </c>
      <c r="J10" s="20" t="s">
        <v>925</v>
      </c>
    </row>
    <row r="11">
      <c r="A11" s="1" t="s">
        <v>365</v>
      </c>
      <c r="B11" s="2" t="s">
        <v>917</v>
      </c>
      <c r="C11" s="2" t="s">
        <v>918</v>
      </c>
      <c r="D11" s="2" t="s">
        <v>918</v>
      </c>
      <c r="E11" s="2" t="s">
        <v>918</v>
      </c>
      <c r="F11" s="2" t="s">
        <v>918</v>
      </c>
      <c r="G11" s="13" t="s">
        <v>44</v>
      </c>
      <c r="H11" s="13" t="s">
        <v>368</v>
      </c>
      <c r="I11" s="17" t="s">
        <v>364</v>
      </c>
      <c r="J11" s="20" t="s">
        <v>926</v>
      </c>
    </row>
    <row r="12">
      <c r="A12" s="1" t="s">
        <v>374</v>
      </c>
      <c r="B12" s="2" t="s">
        <v>917</v>
      </c>
      <c r="C12" s="2" t="s">
        <v>918</v>
      </c>
      <c r="D12" s="2"/>
      <c r="E12" s="2" t="s">
        <v>918</v>
      </c>
      <c r="F12" s="2" t="s">
        <v>918</v>
      </c>
      <c r="G12" s="2" t="s">
        <v>927</v>
      </c>
      <c r="J12" s="20" t="s">
        <v>928</v>
      </c>
    </row>
    <row r="13">
      <c r="A13" s="1" t="s">
        <v>389</v>
      </c>
      <c r="B13" s="2" t="s">
        <v>917</v>
      </c>
      <c r="C13" s="2" t="s">
        <v>918</v>
      </c>
      <c r="D13" s="2" t="s">
        <v>918</v>
      </c>
      <c r="G13" s="13" t="s">
        <v>388</v>
      </c>
      <c r="H13" s="13" t="s">
        <v>392</v>
      </c>
      <c r="J13" s="19" t="s">
        <v>929</v>
      </c>
    </row>
    <row r="14">
      <c r="A14" s="1" t="s">
        <v>396</v>
      </c>
      <c r="B14" s="2" t="s">
        <v>811</v>
      </c>
      <c r="C14" s="2"/>
      <c r="D14" s="2" t="s">
        <v>918</v>
      </c>
      <c r="E14" s="2"/>
      <c r="F14" s="2"/>
      <c r="G14" s="2" t="s">
        <v>55</v>
      </c>
    </row>
    <row r="15">
      <c r="A15" s="1" t="s">
        <v>408</v>
      </c>
      <c r="B15" s="2" t="s">
        <v>811</v>
      </c>
      <c r="C15" s="2"/>
      <c r="D15" s="2" t="s">
        <v>918</v>
      </c>
      <c r="E15" s="2"/>
      <c r="F15" s="2"/>
    </row>
    <row r="16">
      <c r="A16" s="1" t="s">
        <v>412</v>
      </c>
      <c r="B16" s="2" t="s">
        <v>493</v>
      </c>
      <c r="C16" s="2" t="s">
        <v>918</v>
      </c>
      <c r="D16" s="2" t="s">
        <v>918</v>
      </c>
      <c r="E16" s="2"/>
      <c r="F16" s="2"/>
      <c r="J16" s="22" t="s">
        <v>930</v>
      </c>
    </row>
    <row r="17">
      <c r="A17" s="1" t="s">
        <v>432</v>
      </c>
      <c r="B17" s="2" t="s">
        <v>493</v>
      </c>
      <c r="C17" s="2" t="s">
        <v>918</v>
      </c>
      <c r="D17" s="2" t="s">
        <v>918</v>
      </c>
      <c r="E17" s="2"/>
      <c r="F17" s="2"/>
      <c r="G17" s="2" t="s">
        <v>931</v>
      </c>
      <c r="H17" s="2" t="s">
        <v>68</v>
      </c>
      <c r="J17" s="19" t="s">
        <v>932</v>
      </c>
    </row>
    <row r="18">
      <c r="A18" s="1" t="s">
        <v>450</v>
      </c>
      <c r="B18" s="2" t="s">
        <v>493</v>
      </c>
      <c r="C18" s="2" t="s">
        <v>918</v>
      </c>
      <c r="D18" s="2" t="s">
        <v>918</v>
      </c>
      <c r="E18" s="2"/>
      <c r="F18" s="2"/>
      <c r="G18" s="2" t="s">
        <v>933</v>
      </c>
    </row>
    <row r="19">
      <c r="A19" s="1" t="s">
        <v>467</v>
      </c>
      <c r="B19" s="2" t="s">
        <v>493</v>
      </c>
      <c r="C19" s="2" t="s">
        <v>918</v>
      </c>
      <c r="D19" s="2" t="s">
        <v>918</v>
      </c>
      <c r="E19" s="2"/>
      <c r="F19" s="2"/>
      <c r="G19" s="2" t="s">
        <v>934</v>
      </c>
      <c r="H19" s="2" t="s">
        <v>470</v>
      </c>
      <c r="I19" s="2" t="s">
        <v>89</v>
      </c>
      <c r="J19" s="20" t="s">
        <v>935</v>
      </c>
    </row>
    <row r="20">
      <c r="A20" s="1" t="s">
        <v>483</v>
      </c>
      <c r="B20" s="2" t="s">
        <v>493</v>
      </c>
      <c r="D20" s="2" t="s">
        <v>918</v>
      </c>
      <c r="E20" s="2"/>
      <c r="F20" s="2"/>
      <c r="G20" s="2" t="s">
        <v>486</v>
      </c>
      <c r="J20" s="19" t="s">
        <v>936</v>
      </c>
    </row>
    <row r="21">
      <c r="A21" s="1" t="s">
        <v>492</v>
      </c>
      <c r="B21" s="2" t="s">
        <v>493</v>
      </c>
      <c r="C21" s="2" t="s">
        <v>918</v>
      </c>
      <c r="D21" s="2" t="s">
        <v>918</v>
      </c>
      <c r="E21" s="2"/>
      <c r="F21" s="2"/>
      <c r="G21" s="2" t="s">
        <v>93</v>
      </c>
      <c r="J21" s="20" t="s">
        <v>937</v>
      </c>
    </row>
    <row r="22">
      <c r="A22" s="1" t="s">
        <v>495</v>
      </c>
      <c r="B22" s="2" t="s">
        <v>493</v>
      </c>
      <c r="D22" s="2" t="s">
        <v>918</v>
      </c>
      <c r="E22" s="2"/>
      <c r="F22" s="2"/>
      <c r="G22" s="2" t="s">
        <v>938</v>
      </c>
      <c r="J22" s="20" t="s">
        <v>939</v>
      </c>
    </row>
    <row r="23">
      <c r="A23" s="1" t="s">
        <v>512</v>
      </c>
      <c r="B23" s="2" t="s">
        <v>493</v>
      </c>
      <c r="D23" s="2" t="s">
        <v>918</v>
      </c>
      <c r="E23" s="2"/>
      <c r="F23" s="2"/>
    </row>
    <row r="24">
      <c r="A24" s="1" t="s">
        <v>522</v>
      </c>
      <c r="B24" s="2" t="s">
        <v>493</v>
      </c>
      <c r="D24" s="2" t="s">
        <v>918</v>
      </c>
      <c r="E24" s="2"/>
      <c r="F24" s="2"/>
      <c r="G24" s="2" t="s">
        <v>110</v>
      </c>
      <c r="J24" s="19" t="s">
        <v>940</v>
      </c>
    </row>
    <row r="25">
      <c r="A25" s="1" t="s">
        <v>557</v>
      </c>
      <c r="B25" s="2" t="s">
        <v>625</v>
      </c>
      <c r="C25" s="2"/>
      <c r="D25" s="2" t="s">
        <v>918</v>
      </c>
      <c r="E25" s="2"/>
      <c r="F25" s="2"/>
    </row>
    <row r="26">
      <c r="A26" s="1" t="s">
        <v>565</v>
      </c>
      <c r="B26" s="2" t="s">
        <v>625</v>
      </c>
      <c r="C26" s="2"/>
      <c r="D26" s="2" t="s">
        <v>918</v>
      </c>
      <c r="E26" s="2"/>
      <c r="F26" s="2"/>
    </row>
    <row r="27">
      <c r="A27" s="1" t="s">
        <v>568</v>
      </c>
      <c r="B27" s="2" t="s">
        <v>625</v>
      </c>
      <c r="C27" s="2"/>
      <c r="D27" s="2" t="s">
        <v>918</v>
      </c>
      <c r="E27" s="2"/>
      <c r="F27" s="2"/>
      <c r="G27" s="2" t="s">
        <v>941</v>
      </c>
    </row>
    <row r="28">
      <c r="A28" s="1" t="s">
        <v>584</v>
      </c>
      <c r="B28" s="2" t="s">
        <v>625</v>
      </c>
      <c r="C28" s="2"/>
      <c r="D28" s="2" t="s">
        <v>918</v>
      </c>
      <c r="E28" s="2"/>
      <c r="F28" s="2"/>
    </row>
    <row r="29">
      <c r="A29" s="1" t="s">
        <v>591</v>
      </c>
      <c r="B29" s="2" t="s">
        <v>625</v>
      </c>
      <c r="C29" s="2"/>
      <c r="D29" s="2"/>
      <c r="E29" s="2"/>
      <c r="F29" s="2"/>
      <c r="G29" s="2" t="s">
        <v>134</v>
      </c>
    </row>
    <row r="30">
      <c r="A30" s="1" t="s">
        <v>603</v>
      </c>
      <c r="B30" s="2" t="s">
        <v>625</v>
      </c>
      <c r="C30" s="2"/>
      <c r="D30" s="2" t="s">
        <v>918</v>
      </c>
      <c r="E30" s="2"/>
      <c r="F30" s="2"/>
    </row>
    <row r="31">
      <c r="A31" s="1" t="s">
        <v>607</v>
      </c>
      <c r="B31" s="2" t="s">
        <v>713</v>
      </c>
      <c r="C31" s="2"/>
      <c r="D31" s="2" t="s">
        <v>918</v>
      </c>
      <c r="E31" s="2" t="s">
        <v>918</v>
      </c>
      <c r="F31" s="2"/>
    </row>
    <row r="32">
      <c r="A32" s="1" t="s">
        <v>612</v>
      </c>
      <c r="B32" s="2" t="s">
        <v>713</v>
      </c>
      <c r="C32" s="2"/>
      <c r="D32" s="2" t="s">
        <v>918</v>
      </c>
      <c r="E32" s="2" t="s">
        <v>918</v>
      </c>
      <c r="F32" s="2"/>
    </row>
    <row r="33">
      <c r="A33" s="1" t="s">
        <v>624</v>
      </c>
      <c r="B33" s="2" t="s">
        <v>713</v>
      </c>
      <c r="C33" s="2"/>
      <c r="D33" s="2" t="s">
        <v>918</v>
      </c>
      <c r="E33" s="2" t="s">
        <v>918</v>
      </c>
      <c r="F33" s="2"/>
    </row>
    <row r="34">
      <c r="A34" s="1" t="s">
        <v>627</v>
      </c>
      <c r="B34" s="2" t="s">
        <v>713</v>
      </c>
      <c r="C34" s="2"/>
      <c r="D34" s="2" t="s">
        <v>920</v>
      </c>
      <c r="E34" s="2" t="s">
        <v>918</v>
      </c>
      <c r="F34" s="2"/>
      <c r="G34" s="2" t="s">
        <v>137</v>
      </c>
      <c r="J34" s="23" t="s">
        <v>942</v>
      </c>
    </row>
    <row r="35">
      <c r="A35" s="1" t="s">
        <v>642</v>
      </c>
      <c r="B35" s="2" t="s">
        <v>713</v>
      </c>
      <c r="C35" s="2"/>
      <c r="D35" s="2" t="s">
        <v>918</v>
      </c>
      <c r="E35" s="2" t="s">
        <v>918</v>
      </c>
      <c r="F35" s="2"/>
      <c r="G35" s="2" t="s">
        <v>647</v>
      </c>
      <c r="J35" s="19" t="s">
        <v>943</v>
      </c>
    </row>
    <row r="36">
      <c r="A36" s="1" t="s">
        <v>660</v>
      </c>
      <c r="B36" s="2" t="s">
        <v>920</v>
      </c>
      <c r="C36" s="2"/>
      <c r="D36" s="2" t="s">
        <v>918</v>
      </c>
      <c r="E36" s="2"/>
      <c r="F36" s="2"/>
    </row>
    <row r="37">
      <c r="A37" s="1" t="s">
        <v>668</v>
      </c>
      <c r="B37" s="2" t="s">
        <v>353</v>
      </c>
      <c r="C37" s="2"/>
      <c r="D37" s="2" t="s">
        <v>918</v>
      </c>
      <c r="E37" s="2"/>
      <c r="F37" s="2"/>
      <c r="G37" s="2" t="s">
        <v>156</v>
      </c>
      <c r="J37" s="19" t="s">
        <v>944</v>
      </c>
    </row>
    <row r="38">
      <c r="A38" s="1" t="s">
        <v>679</v>
      </c>
      <c r="B38" s="2" t="s">
        <v>353</v>
      </c>
      <c r="C38" s="2"/>
      <c r="D38" s="2" t="s">
        <v>918</v>
      </c>
      <c r="E38" s="2"/>
      <c r="F38" s="2"/>
      <c r="G38" s="2" t="s">
        <v>682</v>
      </c>
      <c r="H38" s="2" t="s">
        <v>678</v>
      </c>
      <c r="I38" s="2" t="s">
        <v>160</v>
      </c>
      <c r="J38" s="19" t="s">
        <v>945</v>
      </c>
    </row>
    <row r="39">
      <c r="A39" s="1" t="s">
        <v>697</v>
      </c>
      <c r="B39" s="2" t="s">
        <v>353</v>
      </c>
      <c r="C39" s="2"/>
      <c r="D39" s="2"/>
      <c r="E39" s="2"/>
      <c r="F39" s="2"/>
      <c r="G39" s="2" t="s">
        <v>183</v>
      </c>
      <c r="J39" s="19" t="s">
        <v>946</v>
      </c>
    </row>
    <row r="40">
      <c r="A40" s="1" t="s">
        <v>722</v>
      </c>
      <c r="B40" s="2" t="s">
        <v>353</v>
      </c>
      <c r="C40" s="2"/>
      <c r="D40" s="2" t="s">
        <v>918</v>
      </c>
      <c r="E40" s="2"/>
      <c r="F40" s="2"/>
      <c r="G40" s="24" t="s">
        <v>725</v>
      </c>
      <c r="J40" s="20" t="s">
        <v>947</v>
      </c>
    </row>
    <row r="41">
      <c r="A41" s="1" t="s">
        <v>735</v>
      </c>
      <c r="B41" s="2" t="s">
        <v>920</v>
      </c>
      <c r="C41" s="2"/>
      <c r="D41" s="2"/>
      <c r="E41" s="2"/>
      <c r="F41" s="2"/>
    </row>
    <row r="42">
      <c r="A42" s="1" t="s">
        <v>741</v>
      </c>
      <c r="B42" s="2" t="s">
        <v>353</v>
      </c>
      <c r="C42" s="2"/>
      <c r="D42" s="2" t="s">
        <v>918</v>
      </c>
      <c r="E42" s="2"/>
      <c r="F42" s="2"/>
      <c r="G42" s="2" t="s">
        <v>744</v>
      </c>
      <c r="J42" s="20" t="s">
        <v>948</v>
      </c>
    </row>
    <row r="43">
      <c r="A43" s="1" t="s">
        <v>759</v>
      </c>
      <c r="B43" s="2" t="s">
        <v>353</v>
      </c>
      <c r="C43" s="2"/>
      <c r="D43" s="2"/>
      <c r="E43" s="2"/>
      <c r="F43" s="2"/>
      <c r="G43" s="2" t="s">
        <v>949</v>
      </c>
      <c r="J43" s="19" t="s">
        <v>950</v>
      </c>
    </row>
    <row r="44">
      <c r="A44" s="1" t="s">
        <v>770</v>
      </c>
      <c r="B44" s="2" t="s">
        <v>353</v>
      </c>
      <c r="C44" s="2"/>
      <c r="D44" s="2" t="s">
        <v>918</v>
      </c>
      <c r="E44" s="2"/>
      <c r="F44" s="2"/>
      <c r="G44" s="2" t="s">
        <v>201</v>
      </c>
      <c r="J44" s="19" t="s">
        <v>951</v>
      </c>
    </row>
    <row r="45">
      <c r="A45" s="1" t="s">
        <v>793</v>
      </c>
      <c r="B45" s="2" t="s">
        <v>811</v>
      </c>
      <c r="C45" s="2"/>
      <c r="D45" s="2" t="s">
        <v>918</v>
      </c>
      <c r="E45" s="2"/>
      <c r="F45" s="2"/>
    </row>
    <row r="46">
      <c r="A46" s="1" t="s">
        <v>802</v>
      </c>
      <c r="B46" s="2" t="s">
        <v>811</v>
      </c>
      <c r="C46" s="2"/>
      <c r="D46" s="2"/>
      <c r="E46" s="2"/>
      <c r="F46" s="2"/>
      <c r="G46" s="2" t="s">
        <v>952</v>
      </c>
    </row>
    <row r="47">
      <c r="A47" s="1" t="s">
        <v>802</v>
      </c>
      <c r="B47" s="2" t="s">
        <v>803</v>
      </c>
      <c r="C47" s="2"/>
      <c r="D47" s="2"/>
      <c r="E47" s="2"/>
      <c r="F47" s="2"/>
      <c r="G47" s="2" t="s">
        <v>210</v>
      </c>
      <c r="J47" s="19" t="s">
        <v>953</v>
      </c>
    </row>
    <row r="48">
      <c r="A48" s="1" t="s">
        <v>825</v>
      </c>
      <c r="B48" s="2" t="s">
        <v>920</v>
      </c>
      <c r="C48" s="2"/>
      <c r="D48" s="2"/>
      <c r="E48" s="2"/>
      <c r="F48" s="2"/>
    </row>
    <row r="49">
      <c r="A49" s="1" t="s">
        <v>829</v>
      </c>
      <c r="B49" s="2" t="s">
        <v>811</v>
      </c>
      <c r="C49" s="2"/>
      <c r="D49" s="2" t="s">
        <v>918</v>
      </c>
      <c r="E49" s="2"/>
      <c r="F49" s="2"/>
      <c r="G49" s="2" t="s">
        <v>226</v>
      </c>
      <c r="J49" s="19" t="s">
        <v>954</v>
      </c>
      <c r="K49" s="20" t="s">
        <v>955</v>
      </c>
    </row>
    <row r="50">
      <c r="A50" s="1" t="s">
        <v>829</v>
      </c>
      <c r="B50" s="2" t="s">
        <v>811</v>
      </c>
      <c r="C50" s="2"/>
      <c r="D50" s="2"/>
      <c r="E50" s="2"/>
      <c r="F50" s="2"/>
      <c r="I50" s="2" t="s">
        <v>230</v>
      </c>
      <c r="J50" s="19" t="s">
        <v>956</v>
      </c>
      <c r="K50" s="2"/>
    </row>
    <row r="51">
      <c r="A51" s="1" t="s">
        <v>864</v>
      </c>
      <c r="B51" s="2" t="s">
        <v>920</v>
      </c>
      <c r="C51" s="2"/>
      <c r="D51" s="2"/>
      <c r="E51" s="2"/>
      <c r="F51" s="2"/>
    </row>
    <row r="52">
      <c r="A52" s="1" t="s">
        <v>867</v>
      </c>
      <c r="B52" s="2" t="s">
        <v>811</v>
      </c>
      <c r="C52" s="2"/>
      <c r="D52" s="2" t="s">
        <v>918</v>
      </c>
      <c r="E52" s="2"/>
      <c r="F52" s="2"/>
    </row>
    <row r="53">
      <c r="A53" s="1" t="s">
        <v>892</v>
      </c>
      <c r="B53" s="2" t="s">
        <v>920</v>
      </c>
      <c r="C53" s="2"/>
      <c r="D53" s="2"/>
      <c r="E53" s="2"/>
      <c r="F53" s="2"/>
      <c r="G53" s="2" t="s">
        <v>243</v>
      </c>
      <c r="J53" s="19" t="s">
        <v>957</v>
      </c>
    </row>
    <row r="54">
      <c r="A54" s="2" t="s">
        <v>958</v>
      </c>
      <c r="B54" s="2"/>
      <c r="C54" s="2"/>
      <c r="D54" s="2"/>
      <c r="E54" s="2"/>
      <c r="F54" s="2"/>
      <c r="G54" s="2"/>
      <c r="J54" s="25" t="s">
        <v>959</v>
      </c>
    </row>
    <row r="55">
      <c r="A55" s="26" t="s">
        <v>960</v>
      </c>
      <c r="B55" s="2" t="s">
        <v>540</v>
      </c>
      <c r="G55" s="2" t="s">
        <v>106</v>
      </c>
      <c r="J55" s="20" t="s">
        <v>961</v>
      </c>
    </row>
    <row r="56">
      <c r="J56" s="20" t="s">
        <v>962</v>
      </c>
    </row>
    <row r="58">
      <c r="A58" s="2" t="s">
        <v>963</v>
      </c>
      <c r="B58" s="2" t="s">
        <v>964</v>
      </c>
      <c r="D58" s="2" t="s">
        <v>918</v>
      </c>
      <c r="E58" s="2" t="s">
        <v>918</v>
      </c>
      <c r="F58" s="2"/>
      <c r="G58" s="2" t="s">
        <v>965</v>
      </c>
      <c r="H58" s="2" t="s">
        <v>110</v>
      </c>
    </row>
  </sheetData>
  <hyperlinks>
    <hyperlink r:id="rId1" ref="A3"/>
    <hyperlink r:id="rId2" location="heading=h.2mpvn8bbm5w6" ref="K3"/>
    <hyperlink r:id="rId3" location="heading=h.32e7gxn6ztmt" ref="J4"/>
    <hyperlink r:id="rId4" ref="J6"/>
    <hyperlink r:id="rId5" location="heading=h.32e7gxn6ztmt" ref="J7"/>
    <hyperlink r:id="rId6" ref="J9"/>
    <hyperlink r:id="rId7" ref="J10"/>
    <hyperlink r:id="rId8" ref="J11"/>
    <hyperlink r:id="rId9" location="heading=h.3l5zvva7l0gu" ref="J12"/>
    <hyperlink r:id="rId10" location="heading=h.32e7gxn6ztmt" ref="J13"/>
    <hyperlink r:id="rId11" ref="J16"/>
    <hyperlink r:id="rId12" ref="J17"/>
    <hyperlink r:id="rId13" ref="J19"/>
    <hyperlink r:id="rId14" location="heading=h.32e7gxn6ztmt" ref="J20"/>
    <hyperlink r:id="rId15" ref="J21"/>
    <hyperlink r:id="rId16" ref="J22"/>
    <hyperlink r:id="rId17" ref="J24"/>
    <hyperlink r:id="rId18" ref="J34"/>
    <hyperlink r:id="rId19" ref="J35"/>
    <hyperlink r:id="rId20" ref="J37"/>
    <hyperlink r:id="rId21" location="heading=h.32e7gxn6ztmt" ref="J38"/>
    <hyperlink r:id="rId22" ref="J39"/>
    <hyperlink r:id="rId23" location="heading=h.gjdgxs" ref="J40"/>
    <hyperlink r:id="rId24" ref="J42"/>
    <hyperlink r:id="rId25" ref="J43"/>
    <hyperlink r:id="rId26" ref="J44"/>
    <hyperlink r:id="rId27" location="heading=h.gjdgxs" ref="J47"/>
    <hyperlink r:id="rId28" ref="J49"/>
    <hyperlink r:id="rId29" ref="K49"/>
    <hyperlink r:id="rId30" ref="J50"/>
    <hyperlink r:id="rId31" location="heading=h.32e7gxn6ztmt" ref="J53"/>
    <hyperlink r:id="rId32" ref="J54"/>
    <hyperlink r:id="rId33" location="heading=h.32e7gxn6ztmt" ref="J55"/>
    <hyperlink r:id="rId34" ref="J56"/>
  </hyperlinks>
  <drawing r:id="rId3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40.38"/>
    <col customWidth="1" min="3" max="3" width="18.88"/>
    <col customWidth="1" min="4" max="4" width="27.63"/>
    <col customWidth="1" min="5" max="6" width="20.88"/>
    <col customWidth="1" min="7" max="7" width="56.0"/>
  </cols>
  <sheetData>
    <row r="1" ht="14.25" customHeight="1">
      <c r="A1" s="27" t="s">
        <v>270</v>
      </c>
      <c r="B1" s="27" t="s">
        <v>966</v>
      </c>
      <c r="C1" s="27" t="s">
        <v>967</v>
      </c>
      <c r="D1" s="27" t="s">
        <v>968</v>
      </c>
      <c r="E1" s="27" t="s">
        <v>969</v>
      </c>
      <c r="F1" s="27" t="s">
        <v>970</v>
      </c>
      <c r="G1" s="27" t="s">
        <v>971</v>
      </c>
      <c r="H1" s="28"/>
    </row>
    <row r="2" ht="14.25" customHeight="1">
      <c r="A2" s="27" t="s">
        <v>18</v>
      </c>
      <c r="B2" s="29" t="s">
        <v>972</v>
      </c>
      <c r="C2" s="27" t="s">
        <v>21</v>
      </c>
      <c r="D2" s="27" t="s">
        <v>973</v>
      </c>
      <c r="E2" s="27" t="s">
        <v>974</v>
      </c>
      <c r="F2" s="27" t="s">
        <v>975</v>
      </c>
      <c r="G2" s="27" t="s">
        <v>976</v>
      </c>
      <c r="H2" s="28"/>
    </row>
    <row r="3" ht="14.25" customHeight="1">
      <c r="A3" s="27" t="s">
        <v>18</v>
      </c>
      <c r="B3" s="27" t="s">
        <v>977</v>
      </c>
      <c r="C3" s="27" t="s">
        <v>21</v>
      </c>
      <c r="D3" s="27" t="s">
        <v>978</v>
      </c>
      <c r="E3" s="27" t="s">
        <v>974</v>
      </c>
      <c r="F3" s="27" t="s">
        <v>975</v>
      </c>
      <c r="G3" s="27" t="s">
        <v>979</v>
      </c>
      <c r="H3" s="28"/>
    </row>
    <row r="4" ht="14.25" customHeight="1">
      <c r="A4" s="27" t="s">
        <v>18</v>
      </c>
      <c r="B4" s="30" t="s">
        <v>980</v>
      </c>
      <c r="C4" s="27" t="s">
        <v>21</v>
      </c>
      <c r="D4" s="27" t="s">
        <v>981</v>
      </c>
      <c r="E4" s="27" t="s">
        <v>974</v>
      </c>
      <c r="F4" s="27" t="s">
        <v>975</v>
      </c>
      <c r="G4" s="27" t="s">
        <v>982</v>
      </c>
      <c r="H4" s="28"/>
    </row>
    <row r="5" ht="14.25" customHeight="1">
      <c r="A5" s="27" t="s">
        <v>18</v>
      </c>
      <c r="B5" s="27" t="s">
        <v>983</v>
      </c>
      <c r="C5" s="27"/>
      <c r="D5" s="27" t="s">
        <v>299</v>
      </c>
      <c r="E5" s="27"/>
      <c r="F5" s="27" t="s">
        <v>975</v>
      </c>
      <c r="G5" s="31" t="s">
        <v>984</v>
      </c>
      <c r="H5" s="28"/>
    </row>
    <row r="6" ht="14.25" customHeight="1">
      <c r="A6" s="27" t="s">
        <v>18</v>
      </c>
      <c r="B6" s="27"/>
      <c r="C6" s="27"/>
      <c r="D6" s="27" t="s">
        <v>299</v>
      </c>
      <c r="E6" s="27"/>
      <c r="F6" s="27" t="s">
        <v>975</v>
      </c>
      <c r="G6" s="27" t="s">
        <v>985</v>
      </c>
      <c r="H6" s="28"/>
    </row>
    <row r="7" ht="14.25" customHeight="1">
      <c r="A7" s="27" t="s">
        <v>255</v>
      </c>
      <c r="B7" s="32" t="s">
        <v>986</v>
      </c>
      <c r="C7" s="27" t="s">
        <v>21</v>
      </c>
      <c r="D7" s="27" t="s">
        <v>321</v>
      </c>
      <c r="E7" s="27" t="s">
        <v>974</v>
      </c>
      <c r="F7" s="27" t="s">
        <v>975</v>
      </c>
      <c r="G7" s="33" t="s">
        <v>987</v>
      </c>
      <c r="H7" s="28"/>
    </row>
    <row r="8" ht="14.25" customHeight="1">
      <c r="A8" s="27" t="s">
        <v>255</v>
      </c>
      <c r="B8" s="32" t="s">
        <v>988</v>
      </c>
      <c r="C8" s="27" t="s">
        <v>21</v>
      </c>
      <c r="D8" s="27" t="s">
        <v>321</v>
      </c>
      <c r="E8" s="27" t="s">
        <v>974</v>
      </c>
      <c r="F8" s="27" t="s">
        <v>975</v>
      </c>
      <c r="G8" s="34" t="s">
        <v>989</v>
      </c>
      <c r="H8" s="28"/>
    </row>
    <row r="9" ht="14.25" customHeight="1">
      <c r="A9" s="27" t="s">
        <v>255</v>
      </c>
      <c r="B9" s="32" t="s">
        <v>990</v>
      </c>
      <c r="C9" s="27" t="s">
        <v>21</v>
      </c>
      <c r="D9" s="27" t="s">
        <v>321</v>
      </c>
      <c r="E9" s="27" t="s">
        <v>974</v>
      </c>
      <c r="F9" s="27" t="s">
        <v>975</v>
      </c>
      <c r="G9" s="35" t="s">
        <v>991</v>
      </c>
      <c r="H9" s="28"/>
    </row>
    <row r="10" ht="14.25" customHeight="1">
      <c r="A10" s="27" t="s">
        <v>255</v>
      </c>
      <c r="B10" s="32" t="s">
        <v>992</v>
      </c>
      <c r="C10" s="27" t="s">
        <v>21</v>
      </c>
      <c r="D10" s="27" t="s">
        <v>321</v>
      </c>
      <c r="E10" s="27" t="s">
        <v>993</v>
      </c>
      <c r="F10" s="27" t="s">
        <v>975</v>
      </c>
      <c r="G10" s="36" t="s">
        <v>994</v>
      </c>
      <c r="H10" s="28"/>
    </row>
    <row r="11" ht="14.25" customHeight="1">
      <c r="A11" s="27" t="s">
        <v>255</v>
      </c>
      <c r="B11" s="27" t="s">
        <v>995</v>
      </c>
      <c r="C11" s="27"/>
      <c r="D11" s="27" t="s">
        <v>321</v>
      </c>
      <c r="E11" s="27"/>
      <c r="F11" s="27" t="s">
        <v>996</v>
      </c>
      <c r="G11" s="27" t="s">
        <v>997</v>
      </c>
      <c r="H11" s="28"/>
    </row>
    <row r="12" ht="14.25" customHeight="1">
      <c r="A12" s="27" t="s">
        <v>37</v>
      </c>
      <c r="B12" s="27" t="s">
        <v>983</v>
      </c>
      <c r="C12" s="27"/>
      <c r="D12" s="27" t="s">
        <v>998</v>
      </c>
      <c r="E12" s="27"/>
      <c r="F12" s="27" t="s">
        <v>996</v>
      </c>
      <c r="G12" s="37" t="s">
        <v>999</v>
      </c>
      <c r="H12" s="28"/>
    </row>
    <row r="13" ht="14.25" customHeight="1">
      <c r="A13" s="27" t="s">
        <v>37</v>
      </c>
      <c r="B13" s="27" t="s">
        <v>983</v>
      </c>
      <c r="C13" s="37"/>
      <c r="D13" s="37" t="s">
        <v>1000</v>
      </c>
      <c r="E13" s="27"/>
      <c r="F13" s="27" t="s">
        <v>996</v>
      </c>
      <c r="G13" s="27" t="s">
        <v>1001</v>
      </c>
      <c r="H13" s="28"/>
    </row>
    <row r="14" ht="14.25" customHeight="1">
      <c r="A14" s="27" t="s">
        <v>37</v>
      </c>
      <c r="B14" s="27" t="s">
        <v>983</v>
      </c>
      <c r="C14" s="27"/>
      <c r="D14" s="27" t="s">
        <v>349</v>
      </c>
      <c r="E14" s="27"/>
      <c r="F14" s="27" t="s">
        <v>996</v>
      </c>
      <c r="G14" s="27" t="s">
        <v>1002</v>
      </c>
      <c r="H14" s="28"/>
    </row>
    <row r="15" ht="14.25" customHeight="1">
      <c r="A15" s="27" t="s">
        <v>37</v>
      </c>
      <c r="B15" s="27" t="s">
        <v>983</v>
      </c>
      <c r="C15" s="27"/>
      <c r="D15" s="27" t="s">
        <v>36</v>
      </c>
      <c r="E15" s="27"/>
      <c r="F15" s="27" t="s">
        <v>996</v>
      </c>
      <c r="G15" s="27" t="s">
        <v>1003</v>
      </c>
      <c r="H15" s="28"/>
    </row>
    <row r="16" ht="14.25" customHeight="1">
      <c r="A16" s="27" t="s">
        <v>37</v>
      </c>
      <c r="B16" s="27" t="s">
        <v>983</v>
      </c>
      <c r="C16" s="27"/>
      <c r="D16" s="27" t="s">
        <v>36</v>
      </c>
      <c r="E16" s="27"/>
      <c r="F16" s="27" t="s">
        <v>996</v>
      </c>
      <c r="G16" s="27" t="s">
        <v>1004</v>
      </c>
      <c r="H16" s="28"/>
    </row>
    <row r="17" ht="14.25" customHeight="1">
      <c r="A17" s="27" t="s">
        <v>37</v>
      </c>
      <c r="B17" s="38" t="s">
        <v>1005</v>
      </c>
      <c r="C17" s="35" t="s">
        <v>21</v>
      </c>
      <c r="D17" s="35" t="s">
        <v>345</v>
      </c>
      <c r="E17" s="28"/>
      <c r="F17" s="28"/>
      <c r="G17" s="28"/>
      <c r="H17" s="28"/>
    </row>
    <row r="18" ht="14.25" customHeight="1">
      <c r="A18" s="27" t="s">
        <v>37</v>
      </c>
      <c r="B18" s="39" t="s">
        <v>1006</v>
      </c>
      <c r="C18" s="35" t="s">
        <v>21</v>
      </c>
      <c r="D18" s="35" t="s">
        <v>345</v>
      </c>
      <c r="E18" s="28"/>
      <c r="F18" s="28"/>
      <c r="G18" s="28"/>
      <c r="H18" s="28"/>
    </row>
    <row r="19" ht="14.25" customHeight="1">
      <c r="A19" s="27" t="s">
        <v>37</v>
      </c>
      <c r="B19" s="38" t="s">
        <v>1007</v>
      </c>
      <c r="C19" s="35" t="s">
        <v>21</v>
      </c>
      <c r="D19" s="35" t="s">
        <v>345</v>
      </c>
      <c r="E19" s="28"/>
      <c r="F19" s="28"/>
      <c r="G19" s="28"/>
      <c r="H19" s="28"/>
    </row>
    <row r="20" ht="14.25" customHeight="1">
      <c r="A20" s="27" t="s">
        <v>37</v>
      </c>
      <c r="B20" s="27" t="s">
        <v>983</v>
      </c>
      <c r="C20" s="35"/>
      <c r="D20" s="35" t="s">
        <v>345</v>
      </c>
      <c r="E20" s="28"/>
      <c r="F20" s="28"/>
      <c r="G20" s="27" t="s">
        <v>1008</v>
      </c>
      <c r="H20" s="28"/>
    </row>
    <row r="21" ht="14.25" customHeight="1">
      <c r="A21" s="27" t="s">
        <v>37</v>
      </c>
      <c r="B21" s="27" t="s">
        <v>983</v>
      </c>
      <c r="C21" s="35"/>
      <c r="D21" s="35" t="s">
        <v>345</v>
      </c>
      <c r="E21" s="27"/>
      <c r="F21" s="27"/>
      <c r="G21" s="27" t="s">
        <v>1009</v>
      </c>
      <c r="H21" s="28"/>
    </row>
    <row r="22" ht="14.25" customHeight="1">
      <c r="A22" s="27" t="s">
        <v>37</v>
      </c>
      <c r="B22" s="27" t="s">
        <v>983</v>
      </c>
      <c r="C22" s="35"/>
      <c r="D22" s="35" t="s">
        <v>345</v>
      </c>
      <c r="E22" s="28"/>
      <c r="F22" s="28"/>
      <c r="G22" s="31" t="s">
        <v>1010</v>
      </c>
      <c r="H22" s="28"/>
    </row>
    <row r="23" ht="14.25" customHeight="1">
      <c r="A23" s="27" t="s">
        <v>37</v>
      </c>
      <c r="B23" s="27" t="s">
        <v>983</v>
      </c>
      <c r="C23" s="35"/>
      <c r="D23" s="35" t="s">
        <v>345</v>
      </c>
      <c r="E23" s="28"/>
      <c r="F23" s="28"/>
      <c r="G23" s="31" t="s">
        <v>1011</v>
      </c>
      <c r="H23" s="28"/>
    </row>
    <row r="24" ht="14.25" customHeight="1">
      <c r="A24" s="27" t="s">
        <v>37</v>
      </c>
      <c r="B24" s="27" t="s">
        <v>983</v>
      </c>
      <c r="C24" s="27"/>
      <c r="D24" s="27" t="s">
        <v>998</v>
      </c>
      <c r="E24" s="28"/>
      <c r="F24" s="28"/>
      <c r="G24" s="27" t="s">
        <v>1012</v>
      </c>
      <c r="H24" s="28"/>
    </row>
    <row r="25" ht="14.25" customHeight="1">
      <c r="A25" s="27" t="s">
        <v>37</v>
      </c>
      <c r="B25" s="27" t="s">
        <v>983</v>
      </c>
      <c r="C25" s="37"/>
      <c r="D25" s="37" t="s">
        <v>1000</v>
      </c>
      <c r="E25" s="28"/>
      <c r="F25" s="28"/>
      <c r="G25" s="27" t="s">
        <v>1013</v>
      </c>
      <c r="H25" s="28"/>
    </row>
    <row r="26" ht="14.25" customHeight="1">
      <c r="A26" s="27" t="s">
        <v>258</v>
      </c>
      <c r="B26" s="32" t="s">
        <v>1014</v>
      </c>
      <c r="C26" s="27" t="s">
        <v>21</v>
      </c>
      <c r="D26" s="27" t="s">
        <v>388</v>
      </c>
      <c r="E26" s="27" t="s">
        <v>993</v>
      </c>
      <c r="F26" s="27" t="s">
        <v>975</v>
      </c>
      <c r="G26" s="40"/>
      <c r="H26" s="28"/>
    </row>
    <row r="27" ht="14.25" customHeight="1">
      <c r="A27" s="27" t="s">
        <v>258</v>
      </c>
      <c r="B27" s="32" t="s">
        <v>1015</v>
      </c>
      <c r="C27" s="27" t="s">
        <v>21</v>
      </c>
      <c r="D27" s="27" t="s">
        <v>388</v>
      </c>
      <c r="E27" s="27" t="s">
        <v>993</v>
      </c>
      <c r="F27" s="27" t="s">
        <v>975</v>
      </c>
      <c r="G27" s="28"/>
      <c r="H27" s="28"/>
    </row>
    <row r="28" ht="14.25" customHeight="1">
      <c r="A28" s="27" t="s">
        <v>258</v>
      </c>
      <c r="B28" s="32" t="s">
        <v>1016</v>
      </c>
      <c r="C28" s="27" t="s">
        <v>21</v>
      </c>
      <c r="D28" s="27" t="s">
        <v>388</v>
      </c>
      <c r="E28" s="27" t="s">
        <v>993</v>
      </c>
      <c r="F28" s="27" t="s">
        <v>975</v>
      </c>
      <c r="G28" s="28"/>
      <c r="H28" s="28"/>
    </row>
    <row r="29" ht="14.25" customHeight="1">
      <c r="A29" s="27" t="s">
        <v>258</v>
      </c>
      <c r="B29" s="32" t="s">
        <v>1017</v>
      </c>
      <c r="C29" s="27" t="s">
        <v>21</v>
      </c>
      <c r="D29" s="27" t="s">
        <v>388</v>
      </c>
      <c r="E29" s="27" t="s">
        <v>993</v>
      </c>
      <c r="F29" s="27" t="s">
        <v>975</v>
      </c>
      <c r="G29" s="28"/>
      <c r="H29" s="28"/>
    </row>
    <row r="30" ht="14.25" customHeight="1">
      <c r="A30" s="27" t="s">
        <v>258</v>
      </c>
      <c r="B30" s="32" t="s">
        <v>1018</v>
      </c>
      <c r="C30" s="27" t="s">
        <v>21</v>
      </c>
      <c r="D30" s="27" t="s">
        <v>388</v>
      </c>
      <c r="E30" s="27" t="s">
        <v>993</v>
      </c>
      <c r="F30" s="27" t="s">
        <v>975</v>
      </c>
      <c r="G30" s="28"/>
      <c r="H30" s="28"/>
    </row>
    <row r="31" ht="14.25" customHeight="1">
      <c r="A31" s="27" t="s">
        <v>258</v>
      </c>
      <c r="B31" s="32" t="s">
        <v>1019</v>
      </c>
      <c r="C31" s="27" t="s">
        <v>21</v>
      </c>
      <c r="D31" s="27" t="s">
        <v>388</v>
      </c>
      <c r="E31" s="27" t="s">
        <v>993</v>
      </c>
      <c r="F31" s="27" t="s">
        <v>975</v>
      </c>
      <c r="G31" s="28"/>
      <c r="H31" s="28"/>
    </row>
    <row r="32" ht="14.25" customHeight="1">
      <c r="A32" s="27" t="s">
        <v>258</v>
      </c>
      <c r="B32" s="32" t="s">
        <v>1020</v>
      </c>
      <c r="C32" s="27" t="s">
        <v>21</v>
      </c>
      <c r="D32" s="27" t="s">
        <v>388</v>
      </c>
      <c r="E32" s="27" t="s">
        <v>993</v>
      </c>
      <c r="F32" s="27" t="s">
        <v>975</v>
      </c>
      <c r="G32" s="28"/>
      <c r="H32" s="28"/>
    </row>
    <row r="33" ht="14.25" customHeight="1">
      <c r="A33" s="27" t="s">
        <v>258</v>
      </c>
      <c r="B33" s="32" t="s">
        <v>1021</v>
      </c>
      <c r="C33" s="27" t="s">
        <v>21</v>
      </c>
      <c r="D33" s="27" t="s">
        <v>388</v>
      </c>
      <c r="E33" s="27" t="s">
        <v>993</v>
      </c>
      <c r="F33" s="27" t="s">
        <v>975</v>
      </c>
      <c r="G33" s="28"/>
      <c r="H33" s="28"/>
    </row>
    <row r="34" ht="14.25" customHeight="1">
      <c r="A34" s="41" t="s">
        <v>258</v>
      </c>
      <c r="B34" s="42" t="s">
        <v>1022</v>
      </c>
      <c r="C34" s="27" t="s">
        <v>21</v>
      </c>
      <c r="D34" s="41" t="s">
        <v>388</v>
      </c>
      <c r="E34" s="41" t="s">
        <v>974</v>
      </c>
      <c r="F34" s="41" t="s">
        <v>975</v>
      </c>
      <c r="G34" s="43"/>
      <c r="H34" s="28"/>
    </row>
    <row r="35" ht="14.25" customHeight="1">
      <c r="A35" s="41" t="s">
        <v>258</v>
      </c>
      <c r="B35" s="42" t="s">
        <v>1023</v>
      </c>
      <c r="C35" s="27" t="s">
        <v>21</v>
      </c>
      <c r="D35" s="41" t="s">
        <v>388</v>
      </c>
      <c r="E35" s="41" t="s">
        <v>993</v>
      </c>
      <c r="F35" s="41" t="s">
        <v>975</v>
      </c>
      <c r="G35" s="43"/>
      <c r="H35" s="28"/>
    </row>
    <row r="36" ht="14.25" customHeight="1">
      <c r="A36" s="41" t="s">
        <v>258</v>
      </c>
      <c r="B36" s="42" t="s">
        <v>1024</v>
      </c>
      <c r="C36" s="27" t="s">
        <v>21</v>
      </c>
      <c r="D36" s="41" t="s">
        <v>388</v>
      </c>
      <c r="E36" s="41" t="s">
        <v>993</v>
      </c>
      <c r="F36" s="41" t="s">
        <v>975</v>
      </c>
      <c r="G36" s="43"/>
      <c r="H36" s="28"/>
    </row>
    <row r="37" ht="14.25" customHeight="1">
      <c r="A37" s="27" t="s">
        <v>54</v>
      </c>
      <c r="B37" s="44" t="s">
        <v>1025</v>
      </c>
      <c r="C37" s="27" t="s">
        <v>22</v>
      </c>
      <c r="D37" s="27" t="s">
        <v>55</v>
      </c>
      <c r="E37" s="27"/>
      <c r="F37" s="27" t="s">
        <v>996</v>
      </c>
      <c r="G37" s="27" t="s">
        <v>1026</v>
      </c>
      <c r="H37" s="28"/>
    </row>
    <row r="38" ht="14.25" customHeight="1">
      <c r="A38" s="27" t="s">
        <v>60</v>
      </c>
      <c r="B38" s="32" t="s">
        <v>1027</v>
      </c>
      <c r="C38" s="27" t="s">
        <v>21</v>
      </c>
      <c r="D38" s="27" t="s">
        <v>59</v>
      </c>
      <c r="E38" s="27" t="s">
        <v>993</v>
      </c>
      <c r="F38" s="27" t="s">
        <v>975</v>
      </c>
      <c r="G38" s="45"/>
      <c r="H38" s="28"/>
    </row>
    <row r="39" ht="14.25" customHeight="1">
      <c r="A39" s="27" t="s">
        <v>60</v>
      </c>
      <c r="B39" s="46" t="s">
        <v>1028</v>
      </c>
      <c r="C39" s="27" t="s">
        <v>21</v>
      </c>
      <c r="D39" s="27" t="s">
        <v>59</v>
      </c>
      <c r="E39" s="27" t="s">
        <v>993</v>
      </c>
      <c r="F39" s="27" t="s">
        <v>975</v>
      </c>
      <c r="G39" s="45"/>
      <c r="H39" s="28"/>
    </row>
    <row r="40" ht="14.25" customHeight="1">
      <c r="A40" s="27" t="s">
        <v>60</v>
      </c>
      <c r="B40" s="46" t="s">
        <v>1029</v>
      </c>
      <c r="C40" s="27" t="s">
        <v>21</v>
      </c>
      <c r="D40" s="27" t="s">
        <v>59</v>
      </c>
      <c r="E40" s="27" t="s">
        <v>993</v>
      </c>
      <c r="F40" s="27" t="s">
        <v>975</v>
      </c>
      <c r="G40" s="45"/>
      <c r="H40" s="28"/>
    </row>
    <row r="41" ht="14.25" customHeight="1">
      <c r="A41" s="27" t="s">
        <v>60</v>
      </c>
      <c r="B41" s="32" t="s">
        <v>1030</v>
      </c>
      <c r="C41" s="27" t="s">
        <v>21</v>
      </c>
      <c r="D41" s="27" t="s">
        <v>59</v>
      </c>
      <c r="E41" s="27" t="s">
        <v>974</v>
      </c>
      <c r="F41" s="27" t="s">
        <v>975</v>
      </c>
      <c r="G41" s="45"/>
      <c r="H41" s="28"/>
    </row>
    <row r="42" ht="14.25" customHeight="1">
      <c r="A42" s="27" t="s">
        <v>60</v>
      </c>
      <c r="B42" s="32" t="s">
        <v>1031</v>
      </c>
      <c r="C42" s="27" t="s">
        <v>21</v>
      </c>
      <c r="D42" s="27" t="s">
        <v>59</v>
      </c>
      <c r="E42" s="27" t="s">
        <v>974</v>
      </c>
      <c r="F42" s="27" t="s">
        <v>975</v>
      </c>
      <c r="G42" s="45"/>
      <c r="H42" s="28"/>
    </row>
    <row r="43" ht="14.25" customHeight="1">
      <c r="A43" s="27" t="s">
        <v>60</v>
      </c>
      <c r="B43" s="46" t="s">
        <v>1032</v>
      </c>
      <c r="C43" s="27" t="s">
        <v>21</v>
      </c>
      <c r="D43" s="27" t="s">
        <v>59</v>
      </c>
      <c r="E43" s="27" t="s">
        <v>974</v>
      </c>
      <c r="F43" s="27" t="s">
        <v>975</v>
      </c>
      <c r="G43" s="45"/>
      <c r="H43" s="28"/>
    </row>
    <row r="44" ht="14.25" customHeight="1">
      <c r="A44" s="27" t="s">
        <v>60</v>
      </c>
      <c r="B44" s="46" t="s">
        <v>1033</v>
      </c>
      <c r="C44" s="27" t="s">
        <v>21</v>
      </c>
      <c r="D44" s="27" t="s">
        <v>59</v>
      </c>
      <c r="E44" s="27" t="s">
        <v>974</v>
      </c>
      <c r="F44" s="27" t="s">
        <v>975</v>
      </c>
      <c r="G44" s="45"/>
      <c r="H44" s="28"/>
    </row>
    <row r="45" ht="14.25" customHeight="1">
      <c r="A45" s="27" t="s">
        <v>1034</v>
      </c>
      <c r="B45" s="47" t="s">
        <v>1035</v>
      </c>
      <c r="C45" s="27" t="s">
        <v>22</v>
      </c>
      <c r="D45" s="27" t="s">
        <v>59</v>
      </c>
      <c r="E45" s="27"/>
      <c r="F45" s="27" t="s">
        <v>996</v>
      </c>
      <c r="G45" s="48" t="s">
        <v>1036</v>
      </c>
      <c r="H45" s="28"/>
    </row>
    <row r="46" ht="14.25" customHeight="1">
      <c r="A46" s="27" t="s">
        <v>60</v>
      </c>
      <c r="B46" s="49" t="s">
        <v>1037</v>
      </c>
      <c r="C46" s="27" t="s">
        <v>22</v>
      </c>
      <c r="D46" s="27" t="s">
        <v>59</v>
      </c>
      <c r="E46" s="27"/>
      <c r="F46" s="27" t="s">
        <v>996</v>
      </c>
      <c r="G46" s="48" t="s">
        <v>1038</v>
      </c>
      <c r="H46" s="28"/>
    </row>
    <row r="47" ht="14.25" customHeight="1">
      <c r="A47" s="27" t="s">
        <v>1034</v>
      </c>
      <c r="B47" s="30" t="s">
        <v>1039</v>
      </c>
      <c r="C47" s="27" t="s">
        <v>22</v>
      </c>
      <c r="D47" s="27" t="s">
        <v>98</v>
      </c>
      <c r="E47" s="27"/>
      <c r="F47" s="27" t="s">
        <v>996</v>
      </c>
      <c r="G47" s="27" t="s">
        <v>1040</v>
      </c>
      <c r="H47" s="28"/>
    </row>
    <row r="48" ht="14.25" customHeight="1">
      <c r="A48" s="27" t="s">
        <v>69</v>
      </c>
      <c r="B48" s="50" t="s">
        <v>1041</v>
      </c>
      <c r="C48" s="27" t="s">
        <v>21</v>
      </c>
      <c r="D48" s="27" t="s">
        <v>931</v>
      </c>
      <c r="E48" s="27" t="s">
        <v>993</v>
      </c>
      <c r="F48" s="27" t="s">
        <v>975</v>
      </c>
      <c r="G48" s="28"/>
      <c r="H48" s="28"/>
    </row>
    <row r="49" ht="14.25" customHeight="1">
      <c r="A49" s="27" t="s">
        <v>69</v>
      </c>
      <c r="B49" s="51" t="s">
        <v>1042</v>
      </c>
      <c r="C49" s="27" t="s">
        <v>21</v>
      </c>
      <c r="D49" s="27" t="s">
        <v>931</v>
      </c>
      <c r="E49" s="27" t="s">
        <v>993</v>
      </c>
      <c r="F49" s="27" t="s">
        <v>975</v>
      </c>
      <c r="G49" s="28"/>
      <c r="H49" s="28"/>
    </row>
    <row r="50" ht="14.25" customHeight="1">
      <c r="A50" s="27" t="s">
        <v>69</v>
      </c>
      <c r="B50" s="52" t="s">
        <v>1043</v>
      </c>
      <c r="C50" s="27" t="s">
        <v>21</v>
      </c>
      <c r="D50" s="27" t="s">
        <v>931</v>
      </c>
      <c r="E50" s="27" t="s">
        <v>974</v>
      </c>
      <c r="F50" s="27" t="s">
        <v>975</v>
      </c>
      <c r="G50" s="28"/>
      <c r="H50" s="28"/>
    </row>
    <row r="51" ht="14.25" customHeight="1">
      <c r="A51" s="27" t="s">
        <v>69</v>
      </c>
      <c r="B51" s="53" t="s">
        <v>1044</v>
      </c>
      <c r="C51" s="27" t="s">
        <v>21</v>
      </c>
      <c r="D51" s="27" t="s">
        <v>931</v>
      </c>
      <c r="E51" s="27" t="s">
        <v>974</v>
      </c>
      <c r="F51" s="27" t="s">
        <v>975</v>
      </c>
      <c r="G51" s="28"/>
      <c r="H51" s="28"/>
    </row>
    <row r="52" ht="14.25" customHeight="1">
      <c r="A52" s="27" t="s">
        <v>69</v>
      </c>
      <c r="B52" s="53" t="s">
        <v>1045</v>
      </c>
      <c r="C52" s="27" t="s">
        <v>21</v>
      </c>
      <c r="D52" s="27" t="s">
        <v>931</v>
      </c>
      <c r="E52" s="27" t="s">
        <v>993</v>
      </c>
      <c r="F52" s="27" t="s">
        <v>975</v>
      </c>
      <c r="G52" s="28"/>
      <c r="H52" s="28"/>
    </row>
    <row r="53" ht="14.25" customHeight="1">
      <c r="A53" s="27" t="s">
        <v>69</v>
      </c>
      <c r="B53" s="53" t="s">
        <v>1046</v>
      </c>
      <c r="C53" s="27" t="s">
        <v>21</v>
      </c>
      <c r="D53" s="27" t="s">
        <v>931</v>
      </c>
      <c r="E53" s="27" t="s">
        <v>993</v>
      </c>
      <c r="F53" s="27" t="s">
        <v>975</v>
      </c>
      <c r="G53" s="28"/>
      <c r="H53" s="43"/>
      <c r="I53" s="54"/>
      <c r="J53" s="54"/>
      <c r="K53" s="54"/>
      <c r="L53" s="54"/>
      <c r="M53" s="54"/>
      <c r="N53" s="54"/>
      <c r="O53" s="54"/>
      <c r="P53" s="54"/>
      <c r="Q53" s="54"/>
      <c r="R53" s="54"/>
      <c r="S53" s="54"/>
      <c r="T53" s="54"/>
      <c r="U53" s="54"/>
      <c r="V53" s="54"/>
      <c r="W53" s="54"/>
      <c r="X53" s="54"/>
      <c r="Y53" s="54"/>
      <c r="Z53" s="54"/>
      <c r="AA53" s="54"/>
      <c r="AB53" s="54"/>
    </row>
    <row r="54" ht="14.25" customHeight="1">
      <c r="A54" s="27" t="s">
        <v>69</v>
      </c>
      <c r="B54" s="55" t="s">
        <v>1047</v>
      </c>
      <c r="C54" s="27" t="s">
        <v>21</v>
      </c>
      <c r="D54" s="27" t="s">
        <v>931</v>
      </c>
      <c r="E54" s="27" t="s">
        <v>974</v>
      </c>
      <c r="F54" s="27" t="s">
        <v>975</v>
      </c>
      <c r="G54" s="28"/>
      <c r="H54" s="43"/>
      <c r="I54" s="54"/>
      <c r="J54" s="54"/>
      <c r="K54" s="54"/>
      <c r="L54" s="54"/>
      <c r="M54" s="54"/>
      <c r="N54" s="54"/>
      <c r="O54" s="54"/>
      <c r="P54" s="54"/>
      <c r="Q54" s="54"/>
      <c r="R54" s="54"/>
      <c r="S54" s="54"/>
      <c r="T54" s="54"/>
      <c r="U54" s="54"/>
      <c r="V54" s="54"/>
      <c r="W54" s="54"/>
      <c r="X54" s="54"/>
      <c r="Y54" s="54"/>
      <c r="Z54" s="54"/>
      <c r="AA54" s="54"/>
      <c r="AB54" s="54"/>
    </row>
    <row r="55" ht="14.25" customHeight="1">
      <c r="A55" s="27" t="s">
        <v>69</v>
      </c>
      <c r="B55" s="53" t="s">
        <v>1048</v>
      </c>
      <c r="C55" s="27" t="s">
        <v>21</v>
      </c>
      <c r="D55" s="27" t="s">
        <v>931</v>
      </c>
      <c r="E55" s="27" t="s">
        <v>974</v>
      </c>
      <c r="F55" s="27" t="s">
        <v>975</v>
      </c>
      <c r="G55" s="28"/>
      <c r="H55" s="43"/>
      <c r="I55" s="54"/>
      <c r="J55" s="54"/>
      <c r="K55" s="54"/>
      <c r="L55" s="54"/>
      <c r="M55" s="54"/>
      <c r="N55" s="54"/>
      <c r="O55" s="54"/>
      <c r="P55" s="54"/>
      <c r="Q55" s="54"/>
      <c r="R55" s="54"/>
      <c r="S55" s="54"/>
      <c r="T55" s="54"/>
      <c r="U55" s="54"/>
      <c r="V55" s="54"/>
      <c r="W55" s="54"/>
      <c r="X55" s="54"/>
      <c r="Y55" s="54"/>
      <c r="Z55" s="54"/>
      <c r="AA55" s="54"/>
      <c r="AB55" s="54"/>
    </row>
    <row r="56" ht="14.25" customHeight="1">
      <c r="A56" s="27" t="s">
        <v>69</v>
      </c>
      <c r="B56" s="53" t="s">
        <v>1049</v>
      </c>
      <c r="C56" s="27" t="s">
        <v>21</v>
      </c>
      <c r="D56" s="27" t="s">
        <v>931</v>
      </c>
      <c r="E56" s="27" t="s">
        <v>974</v>
      </c>
      <c r="F56" s="27" t="s">
        <v>975</v>
      </c>
      <c r="G56" s="28"/>
      <c r="H56" s="28"/>
    </row>
    <row r="57" ht="14.25" customHeight="1">
      <c r="A57" s="27" t="s">
        <v>69</v>
      </c>
      <c r="B57" s="53" t="s">
        <v>1050</v>
      </c>
      <c r="C57" s="27" t="s">
        <v>21</v>
      </c>
      <c r="D57" s="27" t="s">
        <v>931</v>
      </c>
      <c r="E57" s="27" t="s">
        <v>974</v>
      </c>
      <c r="F57" s="27" t="s">
        <v>975</v>
      </c>
      <c r="G57" s="28"/>
      <c r="H57" s="28"/>
    </row>
    <row r="58" ht="14.25" customHeight="1">
      <c r="A58" s="27" t="s">
        <v>69</v>
      </c>
      <c r="B58" s="32" t="s">
        <v>1051</v>
      </c>
      <c r="C58" s="27" t="s">
        <v>22</v>
      </c>
      <c r="D58" s="27" t="s">
        <v>931</v>
      </c>
      <c r="E58" s="27"/>
      <c r="F58" s="27" t="s">
        <v>996</v>
      </c>
      <c r="G58" s="28"/>
      <c r="H58" s="28"/>
    </row>
    <row r="59" ht="14.25" customHeight="1">
      <c r="A59" s="27" t="s">
        <v>69</v>
      </c>
      <c r="B59" s="32" t="s">
        <v>1052</v>
      </c>
      <c r="C59" s="27" t="s">
        <v>22</v>
      </c>
      <c r="D59" s="27" t="s">
        <v>931</v>
      </c>
      <c r="E59" s="27"/>
      <c r="F59" s="27" t="s">
        <v>996</v>
      </c>
      <c r="G59" s="28"/>
      <c r="H59" s="28"/>
    </row>
    <row r="60" ht="14.25" customHeight="1">
      <c r="A60" s="27" t="s">
        <v>69</v>
      </c>
      <c r="B60" s="32" t="s">
        <v>1053</v>
      </c>
      <c r="C60" s="27" t="s">
        <v>22</v>
      </c>
      <c r="D60" s="27" t="s">
        <v>931</v>
      </c>
      <c r="E60" s="27"/>
      <c r="F60" s="27" t="s">
        <v>996</v>
      </c>
      <c r="G60" s="28"/>
      <c r="H60" s="28"/>
    </row>
    <row r="61" ht="14.25" customHeight="1">
      <c r="A61" s="27" t="s">
        <v>69</v>
      </c>
      <c r="B61" s="32" t="s">
        <v>1054</v>
      </c>
      <c r="C61" s="27" t="s">
        <v>22</v>
      </c>
      <c r="D61" s="27" t="s">
        <v>931</v>
      </c>
      <c r="E61" s="27"/>
      <c r="F61" s="27" t="s">
        <v>996</v>
      </c>
      <c r="G61" s="28"/>
      <c r="H61" s="28"/>
    </row>
    <row r="62" ht="14.25" customHeight="1">
      <c r="A62" s="27" t="s">
        <v>69</v>
      </c>
      <c r="B62" s="32" t="s">
        <v>1055</v>
      </c>
      <c r="C62" s="27" t="s">
        <v>22</v>
      </c>
      <c r="D62" s="27" t="s">
        <v>931</v>
      </c>
      <c r="E62" s="27"/>
      <c r="F62" s="27" t="s">
        <v>996</v>
      </c>
      <c r="G62" s="28"/>
      <c r="H62" s="28"/>
    </row>
    <row r="63" ht="14.25" customHeight="1">
      <c r="A63" s="27" t="s">
        <v>69</v>
      </c>
      <c r="B63" s="32" t="s">
        <v>1056</v>
      </c>
      <c r="C63" s="27" t="s">
        <v>22</v>
      </c>
      <c r="D63" s="27" t="s">
        <v>931</v>
      </c>
      <c r="E63" s="27"/>
      <c r="F63" s="27" t="s">
        <v>996</v>
      </c>
      <c r="G63" s="28"/>
      <c r="H63" s="28"/>
    </row>
    <row r="64" ht="14.25" customHeight="1">
      <c r="A64" s="27" t="s">
        <v>69</v>
      </c>
      <c r="B64" s="32" t="s">
        <v>1057</v>
      </c>
      <c r="C64" s="27" t="s">
        <v>22</v>
      </c>
      <c r="D64" s="27" t="s">
        <v>931</v>
      </c>
      <c r="E64" s="27"/>
      <c r="F64" s="27" t="s">
        <v>996</v>
      </c>
      <c r="G64" s="28"/>
      <c r="H64" s="28"/>
    </row>
    <row r="65" ht="14.25" customHeight="1">
      <c r="A65" s="27" t="s">
        <v>69</v>
      </c>
      <c r="B65" s="32" t="s">
        <v>1058</v>
      </c>
      <c r="C65" s="27" t="s">
        <v>22</v>
      </c>
      <c r="D65" s="27" t="s">
        <v>931</v>
      </c>
      <c r="E65" s="27"/>
      <c r="F65" s="27" t="s">
        <v>996</v>
      </c>
      <c r="G65" s="28"/>
      <c r="H65" s="28"/>
    </row>
    <row r="66" ht="14.25" customHeight="1">
      <c r="A66" s="27" t="s">
        <v>69</v>
      </c>
      <c r="B66" s="32" t="s">
        <v>1059</v>
      </c>
      <c r="C66" s="27" t="s">
        <v>22</v>
      </c>
      <c r="D66" s="27" t="s">
        <v>931</v>
      </c>
      <c r="E66" s="27"/>
      <c r="F66" s="27" t="s">
        <v>996</v>
      </c>
      <c r="G66" s="28"/>
      <c r="H66" s="28"/>
    </row>
    <row r="67" ht="14.25" customHeight="1">
      <c r="A67" s="27" t="s">
        <v>69</v>
      </c>
      <c r="B67" s="32" t="s">
        <v>1060</v>
      </c>
      <c r="C67" s="27" t="s">
        <v>22</v>
      </c>
      <c r="D67" s="27" t="s">
        <v>931</v>
      </c>
      <c r="E67" s="27"/>
      <c r="F67" s="27" t="s">
        <v>996</v>
      </c>
      <c r="G67" s="28"/>
      <c r="H67" s="28"/>
    </row>
    <row r="68" ht="14.25" customHeight="1">
      <c r="A68" s="27" t="s">
        <v>69</v>
      </c>
      <c r="B68" s="30" t="s">
        <v>1061</v>
      </c>
      <c r="C68" s="27" t="s">
        <v>22</v>
      </c>
      <c r="D68" s="27" t="s">
        <v>931</v>
      </c>
      <c r="E68" s="27"/>
      <c r="F68" s="27" t="s">
        <v>996</v>
      </c>
      <c r="G68" s="28"/>
      <c r="H68" s="28"/>
    </row>
    <row r="69" ht="14.25" customHeight="1">
      <c r="A69" s="27" t="s">
        <v>69</v>
      </c>
      <c r="B69" s="56" t="s">
        <v>1062</v>
      </c>
      <c r="C69" s="27" t="s">
        <v>22</v>
      </c>
      <c r="D69" s="27" t="s">
        <v>931</v>
      </c>
      <c r="E69" s="27"/>
      <c r="F69" s="27" t="s">
        <v>996</v>
      </c>
      <c r="G69" s="28"/>
      <c r="H69" s="28"/>
    </row>
    <row r="70" ht="14.25" customHeight="1">
      <c r="A70" s="27" t="s">
        <v>69</v>
      </c>
      <c r="B70" s="32" t="s">
        <v>1063</v>
      </c>
      <c r="C70" s="27" t="s">
        <v>22</v>
      </c>
      <c r="D70" s="27" t="s">
        <v>931</v>
      </c>
      <c r="E70" s="27"/>
      <c r="F70" s="27" t="s">
        <v>996</v>
      </c>
      <c r="G70" s="28"/>
      <c r="H70" s="28"/>
    </row>
    <row r="71" ht="14.25" customHeight="1">
      <c r="A71" s="27" t="s">
        <v>69</v>
      </c>
      <c r="B71" s="32" t="s">
        <v>1064</v>
      </c>
      <c r="C71" s="27" t="s">
        <v>22</v>
      </c>
      <c r="D71" s="27" t="s">
        <v>931</v>
      </c>
      <c r="E71" s="27"/>
      <c r="F71" s="27" t="s">
        <v>996</v>
      </c>
      <c r="G71" s="28"/>
      <c r="H71" s="28"/>
    </row>
    <row r="72" ht="14.25" customHeight="1">
      <c r="A72" s="27" t="s">
        <v>69</v>
      </c>
      <c r="B72" s="30" t="s">
        <v>1065</v>
      </c>
      <c r="C72" s="27" t="s">
        <v>22</v>
      </c>
      <c r="D72" s="27" t="s">
        <v>931</v>
      </c>
      <c r="E72" s="27"/>
      <c r="F72" s="27" t="s">
        <v>996</v>
      </c>
      <c r="G72" s="28"/>
      <c r="H72" s="28"/>
    </row>
    <row r="73" ht="14.25" customHeight="1">
      <c r="A73" s="27" t="s">
        <v>69</v>
      </c>
      <c r="B73" s="30" t="s">
        <v>1066</v>
      </c>
      <c r="C73" s="27" t="s">
        <v>22</v>
      </c>
      <c r="D73" s="27" t="s">
        <v>931</v>
      </c>
      <c r="E73" s="27"/>
      <c r="F73" s="27" t="s">
        <v>996</v>
      </c>
      <c r="G73" s="28"/>
      <c r="H73" s="28"/>
    </row>
    <row r="74" ht="14.25" customHeight="1">
      <c r="A74" s="27" t="s">
        <v>69</v>
      </c>
      <c r="B74" s="32" t="s">
        <v>1067</v>
      </c>
      <c r="C74" s="27" t="s">
        <v>22</v>
      </c>
      <c r="D74" s="27" t="s">
        <v>931</v>
      </c>
      <c r="E74" s="27"/>
      <c r="F74" s="27" t="s">
        <v>996</v>
      </c>
      <c r="G74" s="28"/>
      <c r="H74" s="28"/>
    </row>
    <row r="75" ht="14.25" customHeight="1">
      <c r="A75" s="27" t="s">
        <v>69</v>
      </c>
      <c r="B75" s="32" t="s">
        <v>1068</v>
      </c>
      <c r="C75" s="27" t="s">
        <v>22</v>
      </c>
      <c r="D75" s="27" t="s">
        <v>931</v>
      </c>
      <c r="E75" s="27"/>
      <c r="F75" s="27" t="s">
        <v>996</v>
      </c>
      <c r="G75" s="27"/>
      <c r="H75" s="28"/>
    </row>
    <row r="76" ht="14.25" customHeight="1">
      <c r="A76" s="27" t="s">
        <v>69</v>
      </c>
      <c r="B76" s="32" t="s">
        <v>1069</v>
      </c>
      <c r="C76" s="27" t="s">
        <v>22</v>
      </c>
      <c r="D76" s="27" t="s">
        <v>931</v>
      </c>
      <c r="E76" s="27"/>
      <c r="F76" s="27" t="s">
        <v>996</v>
      </c>
      <c r="G76" s="27"/>
      <c r="H76" s="28"/>
    </row>
    <row r="77" ht="14.25" customHeight="1">
      <c r="A77" s="27" t="s">
        <v>69</v>
      </c>
      <c r="B77" s="27" t="s">
        <v>1070</v>
      </c>
      <c r="C77" s="27" t="s">
        <v>22</v>
      </c>
      <c r="D77" s="27" t="s">
        <v>931</v>
      </c>
      <c r="E77" s="27"/>
      <c r="F77" s="27" t="s">
        <v>996</v>
      </c>
      <c r="G77" s="27" t="s">
        <v>1071</v>
      </c>
      <c r="H77" s="28"/>
    </row>
    <row r="78" ht="14.25" customHeight="1">
      <c r="A78" s="27" t="s">
        <v>69</v>
      </c>
      <c r="B78" s="32" t="s">
        <v>1072</v>
      </c>
      <c r="C78" s="27" t="s">
        <v>22</v>
      </c>
      <c r="D78" s="27" t="s">
        <v>931</v>
      </c>
      <c r="E78" s="27"/>
      <c r="F78" s="27" t="s">
        <v>996</v>
      </c>
      <c r="G78" s="28"/>
      <c r="H78" s="28"/>
    </row>
    <row r="79" ht="14.25" customHeight="1">
      <c r="A79" s="27" t="s">
        <v>69</v>
      </c>
      <c r="B79" s="32" t="s">
        <v>1067</v>
      </c>
      <c r="C79" s="27" t="s">
        <v>22</v>
      </c>
      <c r="D79" s="27" t="s">
        <v>931</v>
      </c>
      <c r="E79" s="27"/>
      <c r="F79" s="27" t="s">
        <v>996</v>
      </c>
      <c r="G79" s="28"/>
      <c r="H79" s="28"/>
    </row>
    <row r="80" ht="14.25" customHeight="1">
      <c r="A80" s="27" t="s">
        <v>69</v>
      </c>
      <c r="B80" s="32" t="s">
        <v>1073</v>
      </c>
      <c r="C80" s="27" t="s">
        <v>22</v>
      </c>
      <c r="D80" s="27" t="s">
        <v>931</v>
      </c>
      <c r="E80" s="27"/>
      <c r="F80" s="27" t="s">
        <v>996</v>
      </c>
      <c r="G80" s="28"/>
      <c r="H80" s="28"/>
    </row>
    <row r="81" ht="14.25" customHeight="1">
      <c r="A81" s="27" t="s">
        <v>69</v>
      </c>
      <c r="B81" s="32" t="s">
        <v>1074</v>
      </c>
      <c r="C81" s="27" t="s">
        <v>22</v>
      </c>
      <c r="D81" s="27" t="s">
        <v>931</v>
      </c>
      <c r="E81" s="27"/>
      <c r="F81" s="27" t="s">
        <v>996</v>
      </c>
      <c r="G81" s="28"/>
      <c r="H81" s="28"/>
    </row>
    <row r="82" ht="14.25" customHeight="1">
      <c r="A82" s="27" t="s">
        <v>69</v>
      </c>
      <c r="B82" s="32" t="s">
        <v>1075</v>
      </c>
      <c r="C82" s="27" t="s">
        <v>22</v>
      </c>
      <c r="D82" s="27" t="s">
        <v>931</v>
      </c>
      <c r="E82" s="27"/>
      <c r="F82" s="27" t="s">
        <v>996</v>
      </c>
      <c r="G82" s="28"/>
      <c r="H82" s="28"/>
    </row>
    <row r="83" ht="14.25" customHeight="1">
      <c r="A83" s="27" t="s">
        <v>69</v>
      </c>
      <c r="B83" s="56" t="s">
        <v>1076</v>
      </c>
      <c r="C83" s="27" t="s">
        <v>22</v>
      </c>
      <c r="D83" s="27" t="s">
        <v>931</v>
      </c>
      <c r="E83" s="27"/>
      <c r="F83" s="27" t="s">
        <v>996</v>
      </c>
      <c r="G83" s="27" t="s">
        <v>1077</v>
      </c>
      <c r="H83" s="28"/>
    </row>
    <row r="84" ht="14.25" customHeight="1">
      <c r="A84" s="27" t="s">
        <v>69</v>
      </c>
      <c r="B84" s="56" t="s">
        <v>1078</v>
      </c>
      <c r="C84" s="27" t="s">
        <v>22</v>
      </c>
      <c r="D84" s="27" t="s">
        <v>931</v>
      </c>
      <c r="E84" s="27"/>
      <c r="F84" s="27" t="s">
        <v>996</v>
      </c>
      <c r="G84" s="28"/>
      <c r="H84" s="28"/>
    </row>
    <row r="85" ht="14.25" customHeight="1">
      <c r="A85" s="27" t="s">
        <v>69</v>
      </c>
      <c r="B85" s="53" t="s">
        <v>1079</v>
      </c>
      <c r="C85" s="27" t="s">
        <v>22</v>
      </c>
      <c r="D85" s="27" t="s">
        <v>931</v>
      </c>
      <c r="E85" s="27"/>
      <c r="F85" s="27" t="s">
        <v>996</v>
      </c>
      <c r="G85" s="28"/>
      <c r="H85" s="28"/>
    </row>
    <row r="86" ht="14.25" customHeight="1">
      <c r="A86" s="27" t="s">
        <v>69</v>
      </c>
      <c r="B86" s="28"/>
      <c r="C86" s="27"/>
      <c r="D86" s="27" t="s">
        <v>931</v>
      </c>
      <c r="E86" s="27"/>
      <c r="F86" s="27" t="s">
        <v>996</v>
      </c>
      <c r="G86" s="57" t="s">
        <v>1080</v>
      </c>
      <c r="H86" s="28"/>
    </row>
    <row r="87" ht="14.25" customHeight="1">
      <c r="A87" s="27" t="s">
        <v>69</v>
      </c>
      <c r="B87" s="53" t="s">
        <v>1081</v>
      </c>
      <c r="C87" s="27" t="s">
        <v>22</v>
      </c>
      <c r="D87" s="27" t="s">
        <v>931</v>
      </c>
      <c r="E87" s="27"/>
      <c r="F87" s="27" t="s">
        <v>996</v>
      </c>
      <c r="G87" s="28"/>
      <c r="H87" s="28"/>
    </row>
    <row r="88" ht="14.25" customHeight="1">
      <c r="A88" s="27" t="s">
        <v>1082</v>
      </c>
      <c r="B88" s="32" t="s">
        <v>1083</v>
      </c>
      <c r="C88" s="27" t="s">
        <v>22</v>
      </c>
      <c r="D88" s="27" t="s">
        <v>931</v>
      </c>
      <c r="E88" s="27"/>
      <c r="F88" s="27" t="s">
        <v>996</v>
      </c>
      <c r="G88" s="27"/>
      <c r="H88" s="28"/>
    </row>
    <row r="89" ht="14.25" customHeight="1">
      <c r="A89" s="27" t="s">
        <v>90</v>
      </c>
      <c r="B89" s="51" t="s">
        <v>1084</v>
      </c>
      <c r="C89" s="27" t="s">
        <v>22</v>
      </c>
      <c r="D89" s="27" t="s">
        <v>89</v>
      </c>
      <c r="E89" s="27"/>
      <c r="F89" s="27" t="s">
        <v>996</v>
      </c>
      <c r="G89" s="28"/>
      <c r="H89" s="28"/>
    </row>
    <row r="90" ht="14.25" customHeight="1">
      <c r="A90" s="27" t="s">
        <v>90</v>
      </c>
      <c r="B90" s="58"/>
      <c r="C90" s="27"/>
      <c r="D90" s="27" t="s">
        <v>89</v>
      </c>
      <c r="E90" s="27"/>
      <c r="F90" s="27" t="s">
        <v>996</v>
      </c>
      <c r="G90" s="38" t="s">
        <v>1085</v>
      </c>
      <c r="H90" s="28"/>
    </row>
    <row r="91" ht="14.25" customHeight="1">
      <c r="A91" s="27" t="s">
        <v>94</v>
      </c>
      <c r="B91" s="59" t="s">
        <v>1086</v>
      </c>
      <c r="C91" s="60" t="s">
        <v>21</v>
      </c>
      <c r="D91" s="27" t="s">
        <v>93</v>
      </c>
      <c r="E91" s="27" t="s">
        <v>974</v>
      </c>
      <c r="F91" s="27" t="s">
        <v>975</v>
      </c>
      <c r="G91" s="28"/>
      <c r="H91" s="28"/>
    </row>
    <row r="92" ht="14.25" customHeight="1">
      <c r="A92" s="27" t="s">
        <v>99</v>
      </c>
      <c r="B92" s="32" t="s">
        <v>1087</v>
      </c>
      <c r="C92" s="60" t="s">
        <v>21</v>
      </c>
      <c r="D92" s="27" t="s">
        <v>938</v>
      </c>
      <c r="E92" s="27"/>
      <c r="F92" s="27" t="s">
        <v>975</v>
      </c>
      <c r="G92" s="36" t="s">
        <v>1088</v>
      </c>
      <c r="H92" s="28"/>
    </row>
    <row r="93" ht="14.25" customHeight="1">
      <c r="A93" s="27" t="s">
        <v>99</v>
      </c>
      <c r="B93" s="32" t="s">
        <v>1089</v>
      </c>
      <c r="C93" s="60" t="s">
        <v>21</v>
      </c>
      <c r="D93" s="27" t="s">
        <v>938</v>
      </c>
      <c r="E93" s="27"/>
      <c r="F93" s="27" t="s">
        <v>975</v>
      </c>
      <c r="G93" s="36" t="s">
        <v>1090</v>
      </c>
      <c r="H93" s="28"/>
    </row>
    <row r="94" ht="14.25" customHeight="1">
      <c r="A94" s="27" t="s">
        <v>99</v>
      </c>
      <c r="B94" s="61" t="s">
        <v>1091</v>
      </c>
      <c r="C94" s="60" t="s">
        <v>21</v>
      </c>
      <c r="D94" s="27" t="s">
        <v>938</v>
      </c>
      <c r="E94" s="27"/>
      <c r="F94" s="27" t="s">
        <v>975</v>
      </c>
      <c r="G94" s="36" t="s">
        <v>1092</v>
      </c>
      <c r="H94" s="28"/>
    </row>
    <row r="95" ht="14.25" customHeight="1">
      <c r="A95" s="27" t="s">
        <v>99</v>
      </c>
      <c r="B95" s="30" t="s">
        <v>1093</v>
      </c>
      <c r="C95" s="60" t="s">
        <v>21</v>
      </c>
      <c r="D95" s="27" t="s">
        <v>98</v>
      </c>
      <c r="E95" s="27"/>
      <c r="F95" s="27" t="s">
        <v>975</v>
      </c>
      <c r="G95" s="27" t="s">
        <v>1094</v>
      </c>
      <c r="H95" s="28"/>
    </row>
    <row r="96" ht="14.25" customHeight="1">
      <c r="A96" s="27" t="s">
        <v>99</v>
      </c>
      <c r="B96" s="32" t="s">
        <v>1095</v>
      </c>
      <c r="C96" s="60" t="s">
        <v>22</v>
      </c>
      <c r="D96" s="27" t="s">
        <v>938</v>
      </c>
      <c r="E96" s="27"/>
      <c r="F96" s="27" t="s">
        <v>996</v>
      </c>
      <c r="G96" s="36" t="s">
        <v>1096</v>
      </c>
      <c r="H96" s="28"/>
    </row>
    <row r="97" ht="14.25" customHeight="1">
      <c r="A97" s="27" t="s">
        <v>99</v>
      </c>
      <c r="B97" s="32" t="s">
        <v>1097</v>
      </c>
      <c r="C97" s="60" t="s">
        <v>22</v>
      </c>
      <c r="D97" s="27" t="s">
        <v>938</v>
      </c>
      <c r="E97" s="27"/>
      <c r="F97" s="27" t="s">
        <v>996</v>
      </c>
      <c r="G97" s="36" t="s">
        <v>1098</v>
      </c>
      <c r="H97" s="28"/>
    </row>
    <row r="98" ht="14.25" customHeight="1">
      <c r="A98" s="27" t="s">
        <v>99</v>
      </c>
      <c r="B98" s="30" t="s">
        <v>1099</v>
      </c>
      <c r="C98" s="60" t="s">
        <v>22</v>
      </c>
      <c r="D98" s="27" t="s">
        <v>98</v>
      </c>
      <c r="E98" s="27"/>
      <c r="F98" s="27" t="s">
        <v>996</v>
      </c>
      <c r="G98" s="27" t="s">
        <v>1100</v>
      </c>
      <c r="H98" s="28"/>
    </row>
    <row r="99" ht="14.25" customHeight="1">
      <c r="A99" s="27" t="s">
        <v>99</v>
      </c>
      <c r="B99" s="30" t="s">
        <v>1101</v>
      </c>
      <c r="C99" s="60" t="s">
        <v>22</v>
      </c>
      <c r="D99" s="27" t="s">
        <v>98</v>
      </c>
      <c r="E99" s="27"/>
      <c r="F99" s="27" t="s">
        <v>996</v>
      </c>
      <c r="G99" s="27" t="s">
        <v>1102</v>
      </c>
      <c r="H99" s="28"/>
    </row>
    <row r="100" ht="14.25" customHeight="1">
      <c r="A100" s="27" t="s">
        <v>99</v>
      </c>
      <c r="B100" s="30" t="s">
        <v>1039</v>
      </c>
      <c r="C100" s="60" t="s">
        <v>22</v>
      </c>
      <c r="D100" s="27" t="s">
        <v>98</v>
      </c>
      <c r="E100" s="27"/>
      <c r="F100" s="27" t="s">
        <v>996</v>
      </c>
      <c r="G100" s="27" t="s">
        <v>1040</v>
      </c>
      <c r="H100" s="28"/>
    </row>
    <row r="101" ht="14.25" customHeight="1">
      <c r="A101" s="27" t="s">
        <v>99</v>
      </c>
      <c r="B101" s="30" t="s">
        <v>1103</v>
      </c>
      <c r="C101" s="60" t="s">
        <v>22</v>
      </c>
      <c r="D101" s="27" t="s">
        <v>931</v>
      </c>
      <c r="E101" s="27"/>
      <c r="F101" s="27" t="s">
        <v>996</v>
      </c>
      <c r="G101" s="27"/>
      <c r="H101" s="28"/>
    </row>
    <row r="102" ht="14.25" customHeight="1">
      <c r="A102" s="27" t="s">
        <v>107</v>
      </c>
      <c r="B102" s="32" t="s">
        <v>1104</v>
      </c>
      <c r="C102" s="60" t="s">
        <v>22</v>
      </c>
      <c r="D102" s="27" t="s">
        <v>106</v>
      </c>
      <c r="E102" s="27"/>
      <c r="F102" s="27" t="s">
        <v>996</v>
      </c>
      <c r="G102" s="27" t="s">
        <v>1105</v>
      </c>
      <c r="H102" s="28"/>
    </row>
    <row r="103" ht="14.25" customHeight="1">
      <c r="A103" s="27" t="s">
        <v>107</v>
      </c>
      <c r="B103" s="32" t="s">
        <v>1106</v>
      </c>
      <c r="C103" s="60" t="s">
        <v>22</v>
      </c>
      <c r="D103" s="27" t="s">
        <v>1107</v>
      </c>
      <c r="E103" s="27"/>
      <c r="F103" s="27" t="s">
        <v>996</v>
      </c>
      <c r="G103" s="62" t="s">
        <v>1108</v>
      </c>
      <c r="H103" s="28"/>
    </row>
    <row r="104" ht="14.25" customHeight="1">
      <c r="A104" s="27" t="s">
        <v>1109</v>
      </c>
      <c r="B104" s="59" t="s">
        <v>1110</v>
      </c>
      <c r="C104" s="60" t="s">
        <v>22</v>
      </c>
      <c r="D104" s="27" t="s">
        <v>110</v>
      </c>
      <c r="E104" s="27"/>
      <c r="F104" s="27" t="s">
        <v>996</v>
      </c>
      <c r="G104" s="28"/>
      <c r="H104" s="28"/>
    </row>
    <row r="105" ht="14.25" customHeight="1">
      <c r="A105" s="27" t="s">
        <v>1109</v>
      </c>
      <c r="B105" s="47" t="s">
        <v>1111</v>
      </c>
      <c r="C105" s="60" t="s">
        <v>22</v>
      </c>
      <c r="D105" s="27" t="s">
        <v>110</v>
      </c>
      <c r="E105" s="27"/>
      <c r="F105" s="27" t="s">
        <v>996</v>
      </c>
      <c r="G105" s="28"/>
      <c r="H105" s="28"/>
    </row>
    <row r="106" ht="14.25" customHeight="1">
      <c r="A106" s="27" t="s">
        <v>1109</v>
      </c>
      <c r="B106" s="63" t="s">
        <v>1112</v>
      </c>
      <c r="C106" s="60" t="s">
        <v>22</v>
      </c>
      <c r="D106" s="27" t="s">
        <v>521</v>
      </c>
      <c r="E106" s="28"/>
      <c r="F106" s="28"/>
      <c r="G106" s="28"/>
      <c r="H106" s="28"/>
    </row>
    <row r="107" ht="14.25" customHeight="1">
      <c r="A107" s="27" t="s">
        <v>1109</v>
      </c>
      <c r="B107" s="61" t="s">
        <v>1113</v>
      </c>
      <c r="C107" s="60" t="s">
        <v>22</v>
      </c>
      <c r="D107" s="60" t="s">
        <v>521</v>
      </c>
      <c r="E107" s="28"/>
      <c r="F107" s="28"/>
      <c r="G107" s="28"/>
      <c r="H107" s="28"/>
    </row>
    <row r="108" ht="14.25" customHeight="1">
      <c r="A108" s="27" t="s">
        <v>107</v>
      </c>
      <c r="B108" s="64" t="s">
        <v>1114</v>
      </c>
      <c r="C108" s="27"/>
      <c r="D108" s="27" t="s">
        <v>114</v>
      </c>
      <c r="E108" s="27"/>
      <c r="F108" s="27"/>
      <c r="G108" s="2" t="s">
        <v>1115</v>
      </c>
      <c r="H108" s="28"/>
    </row>
    <row r="109" ht="14.25" customHeight="1">
      <c r="A109" s="27" t="s">
        <v>107</v>
      </c>
      <c r="B109" s="64" t="s">
        <v>1114</v>
      </c>
      <c r="C109" s="27"/>
      <c r="D109" s="27" t="s">
        <v>1116</v>
      </c>
      <c r="E109" s="27"/>
      <c r="F109" s="27"/>
      <c r="G109" s="62" t="s">
        <v>1117</v>
      </c>
      <c r="H109" s="28"/>
    </row>
    <row r="110" ht="14.25" customHeight="1">
      <c r="A110" s="27" t="s">
        <v>121</v>
      </c>
      <c r="B110" s="30" t="s">
        <v>1118</v>
      </c>
      <c r="C110" s="27" t="s">
        <v>22</v>
      </c>
      <c r="D110" s="27" t="s">
        <v>931</v>
      </c>
      <c r="E110" s="27"/>
      <c r="F110" s="27" t="s">
        <v>996</v>
      </c>
      <c r="G110" s="27" t="s">
        <v>1119</v>
      </c>
      <c r="H110" s="28"/>
    </row>
    <row r="111" ht="14.25" customHeight="1">
      <c r="A111" s="27" t="s">
        <v>121</v>
      </c>
      <c r="B111" s="65" t="s">
        <v>1120</v>
      </c>
      <c r="C111" s="27" t="s">
        <v>22</v>
      </c>
      <c r="D111" s="27" t="s">
        <v>571</v>
      </c>
      <c r="E111" s="27"/>
      <c r="F111" s="27" t="s">
        <v>996</v>
      </c>
      <c r="G111" s="27" t="s">
        <v>1121</v>
      </c>
      <c r="H111" s="28"/>
    </row>
    <row r="112" ht="14.25" customHeight="1">
      <c r="A112" s="27" t="s">
        <v>121</v>
      </c>
      <c r="B112" s="30" t="s">
        <v>1122</v>
      </c>
      <c r="C112" s="27" t="s">
        <v>22</v>
      </c>
      <c r="D112" s="27" t="s">
        <v>571</v>
      </c>
      <c r="E112" s="27"/>
      <c r="F112" s="27" t="s">
        <v>996</v>
      </c>
      <c r="G112" s="27" t="s">
        <v>1123</v>
      </c>
      <c r="H112" s="28"/>
    </row>
    <row r="113" ht="14.25" customHeight="1">
      <c r="A113" s="27" t="s">
        <v>121</v>
      </c>
      <c r="B113" s="30" t="s">
        <v>1124</v>
      </c>
      <c r="C113" s="27"/>
      <c r="D113" s="27" t="s">
        <v>571</v>
      </c>
      <c r="E113" s="27" t="s">
        <v>975</v>
      </c>
      <c r="F113" s="27" t="s">
        <v>996</v>
      </c>
      <c r="G113" s="27" t="s">
        <v>1125</v>
      </c>
      <c r="H113" s="28"/>
    </row>
    <row r="114" ht="14.25" customHeight="1">
      <c r="A114" s="27" t="s">
        <v>146</v>
      </c>
      <c r="B114" s="30" t="s">
        <v>1126</v>
      </c>
      <c r="C114" s="27" t="s">
        <v>22</v>
      </c>
      <c r="D114" s="27" t="s">
        <v>931</v>
      </c>
      <c r="E114" s="27"/>
      <c r="F114" s="27" t="s">
        <v>996</v>
      </c>
      <c r="G114" s="28"/>
      <c r="H114" s="28"/>
    </row>
    <row r="115" ht="14.25" customHeight="1">
      <c r="A115" s="2" t="s">
        <v>149</v>
      </c>
      <c r="B115" s="20" t="s">
        <v>1127</v>
      </c>
      <c r="C115" s="27" t="s">
        <v>22</v>
      </c>
      <c r="D115" s="2" t="s">
        <v>647</v>
      </c>
      <c r="G115" s="2" t="s">
        <v>1128</v>
      </c>
    </row>
    <row r="116" ht="14.25" customHeight="1">
      <c r="A116" s="2" t="s">
        <v>149</v>
      </c>
      <c r="B116" s="20" t="s">
        <v>1129</v>
      </c>
      <c r="C116" s="27" t="s">
        <v>22</v>
      </c>
      <c r="D116" s="2" t="s">
        <v>647</v>
      </c>
      <c r="G116" s="2" t="s">
        <v>1130</v>
      </c>
    </row>
    <row r="117" ht="14.25" customHeight="1">
      <c r="A117" s="2" t="s">
        <v>149</v>
      </c>
      <c r="B117" s="20" t="s">
        <v>1131</v>
      </c>
      <c r="C117" s="27" t="s">
        <v>22</v>
      </c>
      <c r="D117" s="2" t="s">
        <v>647</v>
      </c>
      <c r="G117" s="2" t="s">
        <v>1132</v>
      </c>
    </row>
    <row r="118" ht="14.25" customHeight="1">
      <c r="A118" s="2" t="s">
        <v>149</v>
      </c>
      <c r="B118" s="20" t="s">
        <v>1133</v>
      </c>
      <c r="C118" s="27" t="s">
        <v>22</v>
      </c>
      <c r="D118" s="2" t="s">
        <v>647</v>
      </c>
      <c r="G118" s="2" t="s">
        <v>1134</v>
      </c>
    </row>
    <row r="119" ht="14.25" customHeight="1">
      <c r="A119" s="27" t="s">
        <v>153</v>
      </c>
      <c r="B119" s="30" t="s">
        <v>1135</v>
      </c>
      <c r="C119" s="27" t="s">
        <v>22</v>
      </c>
      <c r="D119" s="27" t="s">
        <v>156</v>
      </c>
      <c r="E119" s="27"/>
      <c r="F119" s="27" t="s">
        <v>996</v>
      </c>
      <c r="G119" s="27" t="s">
        <v>1136</v>
      </c>
      <c r="H119" s="28"/>
    </row>
    <row r="120" ht="14.25" customHeight="1">
      <c r="A120" s="27" t="s">
        <v>161</v>
      </c>
      <c r="B120" s="32" t="s">
        <v>1137</v>
      </c>
      <c r="C120" s="27" t="s">
        <v>22</v>
      </c>
      <c r="D120" s="27" t="s">
        <v>160</v>
      </c>
      <c r="E120" s="28"/>
      <c r="F120" s="28"/>
      <c r="G120" s="66" t="s">
        <v>1138</v>
      </c>
      <c r="H120" s="28"/>
    </row>
    <row r="121" ht="14.25" customHeight="1">
      <c r="A121" s="27" t="s">
        <v>169</v>
      </c>
      <c r="B121" s="58" t="s">
        <v>1139</v>
      </c>
      <c r="C121" s="27" t="s">
        <v>22</v>
      </c>
      <c r="D121" s="67" t="s">
        <v>168</v>
      </c>
      <c r="E121" s="27"/>
      <c r="F121" s="27" t="s">
        <v>996</v>
      </c>
      <c r="G121" s="45"/>
      <c r="H121" s="28"/>
    </row>
    <row r="122" ht="14.25" customHeight="1">
      <c r="A122" s="27" t="s">
        <v>169</v>
      </c>
      <c r="B122" s="68" t="s">
        <v>1140</v>
      </c>
      <c r="C122" s="27" t="s">
        <v>22</v>
      </c>
      <c r="D122" s="67" t="s">
        <v>168</v>
      </c>
      <c r="E122" s="27"/>
      <c r="F122" s="27" t="s">
        <v>996</v>
      </c>
      <c r="G122" s="28"/>
      <c r="H122" s="28"/>
    </row>
    <row r="123" ht="14.25" customHeight="1">
      <c r="A123" s="27" t="s">
        <v>169</v>
      </c>
      <c r="B123" s="69" t="s">
        <v>1083</v>
      </c>
      <c r="C123" s="27" t="s">
        <v>22</v>
      </c>
      <c r="D123" s="27" t="s">
        <v>183</v>
      </c>
      <c r="E123" s="27"/>
      <c r="F123" s="27" t="s">
        <v>996</v>
      </c>
      <c r="G123" s="28"/>
      <c r="H123" s="28"/>
    </row>
    <row r="124" ht="14.25" customHeight="1">
      <c r="A124" s="27" t="s">
        <v>169</v>
      </c>
      <c r="B124" s="32" t="s">
        <v>1141</v>
      </c>
      <c r="C124" s="27" t="s">
        <v>22</v>
      </c>
      <c r="D124" s="32" t="s">
        <v>1142</v>
      </c>
      <c r="E124" s="27"/>
      <c r="F124" s="27" t="s">
        <v>996</v>
      </c>
      <c r="G124" s="28"/>
      <c r="H124" s="28"/>
    </row>
    <row r="125" ht="14.25" customHeight="1">
      <c r="A125" s="27" t="s">
        <v>169</v>
      </c>
      <c r="B125" s="32" t="s">
        <v>1143</v>
      </c>
      <c r="C125" s="27" t="s">
        <v>22</v>
      </c>
      <c r="D125" s="32" t="s">
        <v>1142</v>
      </c>
      <c r="E125" s="27"/>
      <c r="F125" s="27" t="s">
        <v>996</v>
      </c>
      <c r="G125" s="28"/>
      <c r="H125" s="28"/>
    </row>
    <row r="126" ht="14.25" customHeight="1">
      <c r="A126" s="27" t="s">
        <v>169</v>
      </c>
      <c r="B126" s="70" t="s">
        <v>1144</v>
      </c>
      <c r="C126" s="27" t="s">
        <v>22</v>
      </c>
      <c r="D126" s="32" t="s">
        <v>1142</v>
      </c>
      <c r="E126" s="27"/>
      <c r="F126" s="27" t="s">
        <v>996</v>
      </c>
      <c r="G126" s="70" t="s">
        <v>1145</v>
      </c>
      <c r="H126" s="28"/>
    </row>
    <row r="127" ht="14.25" customHeight="1">
      <c r="A127" s="27" t="s">
        <v>169</v>
      </c>
      <c r="B127" s="71" t="s">
        <v>1146</v>
      </c>
      <c r="C127" s="27" t="s">
        <v>21</v>
      </c>
      <c r="D127" s="32" t="s">
        <v>1142</v>
      </c>
      <c r="E127" s="27" t="s">
        <v>974</v>
      </c>
      <c r="F127" s="27" t="s">
        <v>1147</v>
      </c>
      <c r="G127" s="72" t="s">
        <v>1148</v>
      </c>
      <c r="H127" s="28"/>
    </row>
    <row r="128" ht="14.25" customHeight="1">
      <c r="A128" s="27" t="s">
        <v>192</v>
      </c>
      <c r="B128" s="32" t="s">
        <v>1149</v>
      </c>
      <c r="C128" s="27" t="s">
        <v>22</v>
      </c>
      <c r="D128" s="27" t="s">
        <v>217</v>
      </c>
      <c r="E128" s="27"/>
      <c r="F128" s="27" t="s">
        <v>996</v>
      </c>
      <c r="G128" s="28"/>
      <c r="H128" s="28"/>
    </row>
    <row r="129" ht="14.25" customHeight="1">
      <c r="A129" s="27" t="s">
        <v>192</v>
      </c>
      <c r="B129" s="32" t="s">
        <v>1150</v>
      </c>
      <c r="C129" s="27" t="s">
        <v>22</v>
      </c>
      <c r="D129" s="27" t="s">
        <v>191</v>
      </c>
      <c r="E129" s="27"/>
      <c r="F129" s="27" t="s">
        <v>996</v>
      </c>
      <c r="G129" s="28"/>
      <c r="H129" s="28"/>
    </row>
    <row r="130" ht="14.25" customHeight="1">
      <c r="A130" s="27" t="s">
        <v>265</v>
      </c>
      <c r="B130" s="58"/>
      <c r="C130" s="27"/>
      <c r="D130" s="27" t="s">
        <v>740</v>
      </c>
      <c r="E130" s="27"/>
      <c r="F130" s="27" t="s">
        <v>996</v>
      </c>
      <c r="G130" s="73" t="s">
        <v>1151</v>
      </c>
      <c r="H130" s="28"/>
    </row>
    <row r="131" ht="14.25" customHeight="1">
      <c r="A131" s="27" t="s">
        <v>1152</v>
      </c>
      <c r="B131" s="51" t="s">
        <v>1150</v>
      </c>
      <c r="C131" s="2" t="s">
        <v>22</v>
      </c>
      <c r="D131" s="27" t="s">
        <v>740</v>
      </c>
      <c r="E131" s="27"/>
      <c r="F131" s="27" t="s">
        <v>996</v>
      </c>
      <c r="G131" s="28"/>
      <c r="H131" s="28"/>
    </row>
    <row r="132" ht="14.25" customHeight="1">
      <c r="A132" s="27" t="s">
        <v>202</v>
      </c>
      <c r="B132" s="30" t="s">
        <v>1153</v>
      </c>
      <c r="C132" s="2" t="s">
        <v>22</v>
      </c>
      <c r="D132" s="27" t="s">
        <v>201</v>
      </c>
      <c r="E132" s="27"/>
      <c r="F132" s="27" t="s">
        <v>996</v>
      </c>
      <c r="G132" s="27" t="s">
        <v>1154</v>
      </c>
      <c r="H132" s="28"/>
    </row>
    <row r="133" ht="14.25" customHeight="1">
      <c r="A133" s="27" t="s">
        <v>202</v>
      </c>
      <c r="B133" s="30" t="s">
        <v>1155</v>
      </c>
      <c r="C133" s="2" t="s">
        <v>22</v>
      </c>
      <c r="D133" s="27" t="s">
        <v>201</v>
      </c>
      <c r="E133" s="27"/>
      <c r="F133" s="27" t="s">
        <v>996</v>
      </c>
      <c r="G133" s="27" t="s">
        <v>1156</v>
      </c>
      <c r="H133" s="28"/>
    </row>
    <row r="134" ht="14.25" customHeight="1">
      <c r="A134" s="27" t="s">
        <v>205</v>
      </c>
      <c r="B134" s="74" t="s">
        <v>1157</v>
      </c>
      <c r="C134" s="2" t="s">
        <v>22</v>
      </c>
      <c r="D134" s="27" t="s">
        <v>1158</v>
      </c>
      <c r="E134" s="27"/>
      <c r="F134" s="27" t="s">
        <v>996</v>
      </c>
      <c r="G134" s="28"/>
      <c r="H134" s="28"/>
    </row>
    <row r="135" ht="14.25" customHeight="1">
      <c r="A135" s="27" t="s">
        <v>205</v>
      </c>
      <c r="B135" s="51" t="s">
        <v>1159</v>
      </c>
      <c r="C135" s="2" t="s">
        <v>22</v>
      </c>
      <c r="D135" s="27" t="s">
        <v>1158</v>
      </c>
      <c r="E135" s="27"/>
      <c r="F135" s="27" t="s">
        <v>996</v>
      </c>
      <c r="G135" s="28"/>
      <c r="H135" s="28"/>
    </row>
    <row r="136" ht="14.25" customHeight="1">
      <c r="A136" s="27" t="s">
        <v>205</v>
      </c>
      <c r="B136" s="38" t="s">
        <v>1160</v>
      </c>
      <c r="C136" s="2" t="s">
        <v>22</v>
      </c>
      <c r="D136" s="27" t="s">
        <v>1158</v>
      </c>
      <c r="E136" s="27"/>
      <c r="F136" s="27" t="s">
        <v>996</v>
      </c>
      <c r="G136" s="28"/>
      <c r="H136" s="28"/>
    </row>
    <row r="137" ht="14.25" customHeight="1">
      <c r="A137" s="27" t="s">
        <v>205</v>
      </c>
      <c r="B137" s="51" t="s">
        <v>1161</v>
      </c>
      <c r="C137" s="2" t="s">
        <v>22</v>
      </c>
      <c r="D137" s="27" t="s">
        <v>1158</v>
      </c>
      <c r="E137" s="27"/>
      <c r="F137" s="27" t="s">
        <v>996</v>
      </c>
      <c r="G137" s="28"/>
      <c r="H137" s="28"/>
    </row>
    <row r="138" ht="14.25" customHeight="1">
      <c r="A138" s="27" t="s">
        <v>205</v>
      </c>
      <c r="B138" s="38" t="s">
        <v>1162</v>
      </c>
      <c r="C138" s="2" t="s">
        <v>22</v>
      </c>
      <c r="D138" s="27" t="s">
        <v>1158</v>
      </c>
      <c r="E138" s="27"/>
      <c r="F138" s="27" t="s">
        <v>996</v>
      </c>
      <c r="G138" s="28"/>
      <c r="H138" s="28"/>
    </row>
    <row r="139" ht="14.25" customHeight="1">
      <c r="A139" s="27" t="s">
        <v>205</v>
      </c>
      <c r="B139" s="51" t="s">
        <v>1163</v>
      </c>
      <c r="C139" s="2" t="s">
        <v>22</v>
      </c>
      <c r="D139" s="27" t="s">
        <v>1158</v>
      </c>
      <c r="E139" s="27"/>
      <c r="F139" s="27" t="s">
        <v>996</v>
      </c>
      <c r="G139" s="28"/>
      <c r="H139" s="28"/>
    </row>
    <row r="140" ht="14.25" customHeight="1">
      <c r="A140" s="27" t="s">
        <v>205</v>
      </c>
      <c r="B140" s="32" t="s">
        <v>1164</v>
      </c>
      <c r="C140" s="2" t="s">
        <v>22</v>
      </c>
      <c r="D140" s="27" t="s">
        <v>1158</v>
      </c>
      <c r="E140" s="27"/>
      <c r="F140" s="27" t="s">
        <v>996</v>
      </c>
      <c r="G140" s="28"/>
      <c r="H140" s="28"/>
    </row>
    <row r="141" ht="14.25" customHeight="1">
      <c r="A141" s="27" t="s">
        <v>205</v>
      </c>
      <c r="B141" s="51" t="s">
        <v>1165</v>
      </c>
      <c r="C141" s="2" t="s">
        <v>22</v>
      </c>
      <c r="D141" s="27" t="s">
        <v>1158</v>
      </c>
      <c r="E141" s="27"/>
      <c r="F141" s="27" t="s">
        <v>996</v>
      </c>
      <c r="G141" s="28"/>
      <c r="H141" s="28"/>
    </row>
    <row r="142" ht="14.25" customHeight="1">
      <c r="A142" s="27" t="s">
        <v>205</v>
      </c>
      <c r="B142" s="51" t="s">
        <v>1166</v>
      </c>
      <c r="C142" s="2" t="s">
        <v>22</v>
      </c>
      <c r="D142" s="27" t="s">
        <v>1158</v>
      </c>
      <c r="E142" s="27"/>
      <c r="F142" s="27" t="s">
        <v>996</v>
      </c>
      <c r="G142" s="28"/>
      <c r="H142" s="28"/>
    </row>
    <row r="143" ht="14.25" customHeight="1">
      <c r="A143" s="27" t="s">
        <v>205</v>
      </c>
      <c r="B143" s="51" t="s">
        <v>1157</v>
      </c>
      <c r="C143" s="2" t="s">
        <v>22</v>
      </c>
      <c r="D143" s="27" t="s">
        <v>1158</v>
      </c>
      <c r="E143" s="27"/>
      <c r="F143" s="27" t="s">
        <v>996</v>
      </c>
      <c r="G143" s="28"/>
      <c r="H143" s="27"/>
    </row>
    <row r="144" ht="14.25" customHeight="1">
      <c r="A144" s="27" t="s">
        <v>205</v>
      </c>
      <c r="B144" s="51" t="s">
        <v>1167</v>
      </c>
      <c r="C144" s="2" t="s">
        <v>22</v>
      </c>
      <c r="D144" s="27" t="s">
        <v>1158</v>
      </c>
      <c r="E144" s="27"/>
      <c r="F144" s="27" t="s">
        <v>996</v>
      </c>
      <c r="G144" s="75"/>
      <c r="H144" s="28"/>
    </row>
    <row r="145" ht="14.25" customHeight="1">
      <c r="A145" s="27" t="s">
        <v>205</v>
      </c>
      <c r="B145" s="51" t="s">
        <v>1168</v>
      </c>
      <c r="C145" s="2" t="s">
        <v>22</v>
      </c>
      <c r="D145" s="27" t="s">
        <v>1158</v>
      </c>
      <c r="E145" s="27"/>
      <c r="F145" s="27" t="s">
        <v>996</v>
      </c>
      <c r="G145" s="28"/>
      <c r="H145" s="28"/>
    </row>
    <row r="146" ht="14.25" customHeight="1">
      <c r="A146" s="27" t="s">
        <v>205</v>
      </c>
      <c r="B146" s="51" t="s">
        <v>1168</v>
      </c>
      <c r="C146" s="2" t="s">
        <v>22</v>
      </c>
      <c r="D146" s="27" t="s">
        <v>1158</v>
      </c>
      <c r="E146" s="27"/>
      <c r="F146" s="27" t="s">
        <v>996</v>
      </c>
      <c r="G146" s="76"/>
      <c r="H146" s="28"/>
    </row>
    <row r="147" ht="14.25" customHeight="1">
      <c r="A147" s="2" t="s">
        <v>205</v>
      </c>
      <c r="B147" s="77" t="s">
        <v>1169</v>
      </c>
      <c r="C147" s="2" t="s">
        <v>22</v>
      </c>
      <c r="D147" s="2" t="s">
        <v>210</v>
      </c>
      <c r="E147" s="2"/>
      <c r="F147" s="2" t="s">
        <v>996</v>
      </c>
    </row>
    <row r="148" ht="14.25" customHeight="1">
      <c r="A148" s="2" t="s">
        <v>205</v>
      </c>
      <c r="B148" s="78" t="s">
        <v>1170</v>
      </c>
      <c r="C148" s="2" t="s">
        <v>22</v>
      </c>
      <c r="D148" s="2" t="s">
        <v>210</v>
      </c>
      <c r="E148" s="2"/>
      <c r="F148" s="2" t="s">
        <v>996</v>
      </c>
    </row>
    <row r="149" ht="14.25" customHeight="1">
      <c r="A149" s="2" t="s">
        <v>205</v>
      </c>
      <c r="B149" s="20" t="s">
        <v>1171</v>
      </c>
      <c r="C149" s="2" t="s">
        <v>22</v>
      </c>
      <c r="D149" s="2" t="s">
        <v>210</v>
      </c>
      <c r="E149" s="2"/>
      <c r="F149" s="2" t="s">
        <v>996</v>
      </c>
      <c r="G149" s="5" t="s">
        <v>1172</v>
      </c>
    </row>
    <row r="150" ht="14.25" customHeight="1">
      <c r="A150" s="2" t="s">
        <v>1173</v>
      </c>
      <c r="B150" s="79" t="s">
        <v>1174</v>
      </c>
      <c r="C150" s="2" t="s">
        <v>22</v>
      </c>
      <c r="D150" s="2" t="s">
        <v>238</v>
      </c>
      <c r="E150" s="2"/>
      <c r="F150" s="2" t="s">
        <v>996</v>
      </c>
    </row>
    <row r="151" ht="14.25" customHeight="1">
      <c r="A151" s="2" t="s">
        <v>1173</v>
      </c>
      <c r="B151" s="20" t="s">
        <v>1175</v>
      </c>
      <c r="C151" s="2" t="s">
        <v>22</v>
      </c>
      <c r="D151" s="2" t="s">
        <v>238</v>
      </c>
      <c r="E151" s="2"/>
      <c r="F151" s="2" t="s">
        <v>996</v>
      </c>
    </row>
    <row r="152" ht="14.25" customHeight="1">
      <c r="A152" s="2" t="s">
        <v>1173</v>
      </c>
      <c r="B152" s="20" t="s">
        <v>1176</v>
      </c>
      <c r="C152" s="2" t="s">
        <v>22</v>
      </c>
      <c r="D152" s="2" t="s">
        <v>238</v>
      </c>
      <c r="E152" s="2"/>
      <c r="F152" s="2" t="s">
        <v>996</v>
      </c>
    </row>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sheetData>
  <autoFilter ref="$A$1:$A$1027"/>
  <hyperlinks>
    <hyperlink r:id="rId1" ref="B2"/>
    <hyperlink r:id="rId2" ref="B4"/>
    <hyperlink r:id="rId3" ref="B7"/>
    <hyperlink r:id="rId4" ref="B8"/>
    <hyperlink r:id="rId5" ref="G8"/>
    <hyperlink r:id="rId6" ref="B9"/>
    <hyperlink r:id="rId7" ref="B10"/>
    <hyperlink r:id="rId8" ref="B17"/>
    <hyperlink r:id="rId9" ref="B18"/>
    <hyperlink r:id="rId10" ref="B19"/>
    <hyperlink r:id="rId11" ref="B26"/>
    <hyperlink r:id="rId12" ref="B27"/>
    <hyperlink r:id="rId13" ref="B28"/>
    <hyperlink r:id="rId14" ref="B29"/>
    <hyperlink r:id="rId15" ref="B30"/>
    <hyperlink r:id="rId16" ref="B31"/>
    <hyperlink r:id="rId17" ref="B32"/>
    <hyperlink r:id="rId18" ref="B33"/>
    <hyperlink r:id="rId19" ref="B34"/>
    <hyperlink r:id="rId20" ref="B35"/>
    <hyperlink r:id="rId21" ref="B36"/>
    <hyperlink r:id="rId22" ref="B37"/>
    <hyperlink r:id="rId23" ref="B38"/>
    <hyperlink r:id="rId24" ref="B39"/>
    <hyperlink r:id="rId25" ref="B40"/>
    <hyperlink r:id="rId26" ref="B41"/>
    <hyperlink r:id="rId27" ref="B42"/>
    <hyperlink r:id="rId28" ref="B43"/>
    <hyperlink r:id="rId29" ref="B44"/>
    <hyperlink r:id="rId30" ref="B45"/>
    <hyperlink r:id="rId31" ref="B46"/>
    <hyperlink r:id="rId32" ref="B47"/>
    <hyperlink r:id="rId33" ref="B48"/>
    <hyperlink r:id="rId34" ref="B49"/>
    <hyperlink r:id="rId35" ref="B50"/>
    <hyperlink r:id="rId36" ref="B51"/>
    <hyperlink r:id="rId37" ref="B52"/>
    <hyperlink r:id="rId38" ref="B53"/>
    <hyperlink r:id="rId39" ref="B54"/>
    <hyperlink r:id="rId40" ref="B55"/>
    <hyperlink r:id="rId41" ref="B56"/>
    <hyperlink r:id="rId42" ref="B57"/>
    <hyperlink r:id="rId43" ref="B58"/>
    <hyperlink r:id="rId44" ref="B59"/>
    <hyperlink r:id="rId45" ref="B60"/>
    <hyperlink r:id="rId46" ref="B61"/>
    <hyperlink r:id="rId47" ref="B62"/>
    <hyperlink r:id="rId48" ref="B63"/>
    <hyperlink r:id="rId49" ref="B64"/>
    <hyperlink r:id="rId50" ref="B65"/>
    <hyperlink r:id="rId51" ref="B66"/>
    <hyperlink r:id="rId52" ref="B67"/>
    <hyperlink r:id="rId53" ref="B68"/>
    <hyperlink r:id="rId54" ref="B69"/>
    <hyperlink r:id="rId55" ref="B70"/>
    <hyperlink r:id="rId56" ref="B71"/>
    <hyperlink r:id="rId57" ref="B72"/>
    <hyperlink r:id="rId58" ref="B73"/>
    <hyperlink r:id="rId59" ref="B74"/>
    <hyperlink r:id="rId60" ref="B75"/>
    <hyperlink r:id="rId61" ref="B76"/>
    <hyperlink r:id="rId62" ref="B78"/>
    <hyperlink r:id="rId63" ref="B79"/>
    <hyperlink r:id="rId64" ref="B80"/>
    <hyperlink r:id="rId65" ref="B81"/>
    <hyperlink r:id="rId66" ref="B82"/>
    <hyperlink r:id="rId67" ref="B83"/>
    <hyperlink r:id="rId68" ref="B84"/>
    <hyperlink r:id="rId69" ref="B85"/>
    <hyperlink r:id="rId70" ref="B87"/>
    <hyperlink r:id="rId71" ref="B88"/>
    <hyperlink r:id="rId72" ref="B89"/>
    <hyperlink r:id="rId73" ref="G90"/>
    <hyperlink r:id="rId74" ref="B91"/>
    <hyperlink r:id="rId75" ref="B92"/>
    <hyperlink r:id="rId76" ref="B93"/>
    <hyperlink r:id="rId77" ref="B94"/>
    <hyperlink r:id="rId78" ref="B95"/>
    <hyperlink r:id="rId79" ref="B96"/>
    <hyperlink r:id="rId80" ref="B97"/>
    <hyperlink r:id="rId81" ref="B98"/>
    <hyperlink r:id="rId82" ref="B99"/>
    <hyperlink r:id="rId83" ref="B100"/>
    <hyperlink r:id="rId84" ref="B101"/>
    <hyperlink r:id="rId85" ref="B102"/>
    <hyperlink r:id="rId86" ref="B103"/>
    <hyperlink r:id="rId87" ref="B104"/>
    <hyperlink r:id="rId88" ref="B105"/>
    <hyperlink r:id="rId89" ref="B106"/>
    <hyperlink r:id="rId90" ref="B107"/>
    <hyperlink r:id="rId91" ref="B110"/>
    <hyperlink r:id="rId92" ref="B111"/>
    <hyperlink r:id="rId93" ref="B112"/>
    <hyperlink r:id="rId94" ref="B113"/>
    <hyperlink r:id="rId95" ref="B114"/>
    <hyperlink r:id="rId96" ref="B115"/>
    <hyperlink r:id="rId97" ref="B116"/>
    <hyperlink r:id="rId98" ref="B117"/>
    <hyperlink r:id="rId99" ref="B118"/>
    <hyperlink r:id="rId100" ref="B119"/>
    <hyperlink r:id="rId101" ref="B120"/>
    <hyperlink r:id="rId102" ref="B122"/>
    <hyperlink r:id="rId103" ref="B123"/>
    <hyperlink r:id="rId104" ref="B124"/>
    <hyperlink r:id="rId105" ref="D124"/>
    <hyperlink r:id="rId106" ref="B125"/>
    <hyperlink r:id="rId107" ref="D125"/>
    <hyperlink r:id="rId108" ref="D126"/>
    <hyperlink r:id="rId109" ref="B127"/>
    <hyperlink r:id="rId110" ref="D127"/>
    <hyperlink r:id="rId111" ref="G127"/>
    <hyperlink r:id="rId112" ref="B128"/>
    <hyperlink r:id="rId113" ref="B129"/>
    <hyperlink r:id="rId114" ref="B131"/>
    <hyperlink r:id="rId115" ref="B132"/>
    <hyperlink r:id="rId116" ref="B133"/>
    <hyperlink r:id="rId117" ref="B134"/>
    <hyperlink r:id="rId118" ref="B135"/>
    <hyperlink r:id="rId119" ref="B136"/>
    <hyperlink r:id="rId120" ref="B137"/>
    <hyperlink r:id="rId121" ref="B138"/>
    <hyperlink r:id="rId122" ref="B139"/>
    <hyperlink r:id="rId123" ref="B140"/>
    <hyperlink r:id="rId124" ref="B141"/>
    <hyperlink r:id="rId125" ref="B142"/>
    <hyperlink r:id="rId126" ref="B143"/>
    <hyperlink r:id="rId127" ref="B144"/>
    <hyperlink r:id="rId128" ref="B145"/>
    <hyperlink r:id="rId129" ref="B146"/>
    <hyperlink r:id="rId130" ref="B147"/>
    <hyperlink r:id="rId131" ref="B148"/>
    <hyperlink r:id="rId132" ref="B149"/>
    <hyperlink r:id="rId133" ref="B150"/>
    <hyperlink r:id="rId134" ref="B151"/>
    <hyperlink r:id="rId135" ref="B152"/>
  </hyperlinks>
  <drawing r:id="rId13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25"/>
    <col customWidth="1" min="3" max="3" width="27.63"/>
  </cols>
  <sheetData>
    <row r="1">
      <c r="A1" s="80" t="s">
        <v>270</v>
      </c>
      <c r="B1" s="80" t="s">
        <v>1177</v>
      </c>
      <c r="C1" s="80" t="s">
        <v>914</v>
      </c>
      <c r="D1" s="80" t="s">
        <v>1178</v>
      </c>
      <c r="E1" s="80" t="s">
        <v>971</v>
      </c>
    </row>
    <row r="2">
      <c r="A2" s="81" t="s">
        <v>18</v>
      </c>
      <c r="B2" s="82" t="s">
        <v>972</v>
      </c>
      <c r="C2" s="82" t="s">
        <v>973</v>
      </c>
      <c r="D2" s="81" t="s">
        <v>975</v>
      </c>
      <c r="E2" s="83" t="s">
        <v>976</v>
      </c>
    </row>
    <row r="3">
      <c r="A3" s="81" t="s">
        <v>18</v>
      </c>
      <c r="B3" s="81" t="s">
        <v>977</v>
      </c>
      <c r="C3" s="81" t="s">
        <v>978</v>
      </c>
      <c r="D3" s="81" t="s">
        <v>975</v>
      </c>
      <c r="E3" s="83" t="s">
        <v>979</v>
      </c>
    </row>
    <row r="4">
      <c r="A4" s="81" t="s">
        <v>18</v>
      </c>
      <c r="B4" s="82" t="s">
        <v>980</v>
      </c>
      <c r="C4" s="81" t="s">
        <v>981</v>
      </c>
      <c r="D4" s="81" t="s">
        <v>975</v>
      </c>
      <c r="E4" s="83" t="s">
        <v>982</v>
      </c>
    </row>
    <row r="5">
      <c r="A5" s="81" t="s">
        <v>255</v>
      </c>
      <c r="B5" s="81" t="s">
        <v>995</v>
      </c>
      <c r="C5" s="81" t="s">
        <v>321</v>
      </c>
      <c r="D5" s="81" t="s">
        <v>996</v>
      </c>
      <c r="E5" s="83" t="s">
        <v>997</v>
      </c>
    </row>
    <row r="6">
      <c r="A6" s="81" t="s">
        <v>37</v>
      </c>
      <c r="B6" s="81" t="s">
        <v>983</v>
      </c>
      <c r="C6" s="81" t="s">
        <v>998</v>
      </c>
      <c r="D6" s="81" t="s">
        <v>996</v>
      </c>
      <c r="E6" s="84" t="s">
        <v>1179</v>
      </c>
    </row>
    <row r="7">
      <c r="A7" s="81" t="s">
        <v>37</v>
      </c>
      <c r="B7" s="81" t="s">
        <v>983</v>
      </c>
      <c r="C7" s="85" t="s">
        <v>1000</v>
      </c>
      <c r="D7" s="81" t="s">
        <v>996</v>
      </c>
      <c r="E7" s="83" t="s">
        <v>1180</v>
      </c>
    </row>
    <row r="8">
      <c r="A8" s="81" t="s">
        <v>37</v>
      </c>
      <c r="B8" s="81" t="s">
        <v>983</v>
      </c>
      <c r="C8" s="81" t="s">
        <v>349</v>
      </c>
      <c r="D8" s="81" t="s">
        <v>996</v>
      </c>
      <c r="E8" s="83" t="s">
        <v>1181</v>
      </c>
    </row>
    <row r="9">
      <c r="A9" s="81" t="s">
        <v>37</v>
      </c>
      <c r="B9" s="81" t="s">
        <v>983</v>
      </c>
      <c r="C9" s="81" t="s">
        <v>36</v>
      </c>
      <c r="D9" s="81" t="s">
        <v>996</v>
      </c>
      <c r="E9" s="83" t="s">
        <v>1182</v>
      </c>
    </row>
    <row r="10">
      <c r="A10" s="81" t="s">
        <v>37</v>
      </c>
      <c r="B10" s="81" t="s">
        <v>983</v>
      </c>
      <c r="C10" s="81" t="s">
        <v>36</v>
      </c>
      <c r="D10" s="81" t="s">
        <v>996</v>
      </c>
      <c r="E10" s="83" t="s">
        <v>1183</v>
      </c>
    </row>
    <row r="11">
      <c r="A11" s="81" t="s">
        <v>37</v>
      </c>
      <c r="B11" s="82" t="s">
        <v>1005</v>
      </c>
      <c r="C11" s="86" t="s">
        <v>345</v>
      </c>
      <c r="D11" s="87"/>
      <c r="E11" s="87"/>
    </row>
    <row r="12">
      <c r="A12" s="81" t="s">
        <v>37</v>
      </c>
      <c r="B12" s="88" t="s">
        <v>1006</v>
      </c>
      <c r="C12" s="86" t="s">
        <v>345</v>
      </c>
      <c r="D12" s="87"/>
      <c r="E12" s="87"/>
    </row>
    <row r="13">
      <c r="A13" s="81" t="s">
        <v>37</v>
      </c>
      <c r="B13" s="82" t="s">
        <v>1007</v>
      </c>
      <c r="C13" s="86" t="s">
        <v>345</v>
      </c>
      <c r="D13" s="87"/>
      <c r="E13" s="87"/>
    </row>
    <row r="14">
      <c r="A14" s="81" t="s">
        <v>258</v>
      </c>
      <c r="B14" s="82" t="s">
        <v>1014</v>
      </c>
      <c r="C14" s="81" t="s">
        <v>388</v>
      </c>
      <c r="D14" s="81" t="s">
        <v>975</v>
      </c>
      <c r="E14" s="89"/>
    </row>
    <row r="15">
      <c r="A15" s="81" t="s">
        <v>258</v>
      </c>
      <c r="B15" s="82" t="s">
        <v>1015</v>
      </c>
      <c r="C15" s="81" t="s">
        <v>388</v>
      </c>
      <c r="D15" s="81" t="s">
        <v>975</v>
      </c>
      <c r="E15" s="87"/>
    </row>
    <row r="16">
      <c r="A16" s="81" t="s">
        <v>258</v>
      </c>
      <c r="B16" s="82" t="s">
        <v>1016</v>
      </c>
      <c r="C16" s="81" t="s">
        <v>388</v>
      </c>
      <c r="D16" s="81" t="s">
        <v>975</v>
      </c>
      <c r="E16" s="87"/>
    </row>
    <row r="17">
      <c r="A17" s="81" t="s">
        <v>258</v>
      </c>
      <c r="B17" s="82" t="s">
        <v>1017</v>
      </c>
      <c r="C17" s="81" t="s">
        <v>388</v>
      </c>
      <c r="D17" s="81" t="s">
        <v>975</v>
      </c>
      <c r="E17" s="87"/>
    </row>
    <row r="18">
      <c r="A18" s="81" t="s">
        <v>258</v>
      </c>
      <c r="B18" s="82" t="s">
        <v>1018</v>
      </c>
      <c r="C18" s="81" t="s">
        <v>388</v>
      </c>
      <c r="D18" s="81" t="s">
        <v>975</v>
      </c>
      <c r="E18" s="87"/>
    </row>
    <row r="19">
      <c r="A19" s="81" t="s">
        <v>258</v>
      </c>
      <c r="B19" s="82" t="s">
        <v>1019</v>
      </c>
      <c r="C19" s="81" t="s">
        <v>388</v>
      </c>
      <c r="D19" s="81" t="s">
        <v>975</v>
      </c>
      <c r="E19" s="87"/>
    </row>
    <row r="20">
      <c r="A20" s="81" t="s">
        <v>258</v>
      </c>
      <c r="B20" s="82" t="s">
        <v>1020</v>
      </c>
      <c r="C20" s="81" t="s">
        <v>388</v>
      </c>
      <c r="D20" s="81" t="s">
        <v>975</v>
      </c>
      <c r="E20" s="87"/>
    </row>
    <row r="21">
      <c r="A21" s="81" t="s">
        <v>258</v>
      </c>
      <c r="B21" s="82" t="s">
        <v>1021</v>
      </c>
      <c r="C21" s="81" t="s">
        <v>388</v>
      </c>
      <c r="D21" s="81" t="s">
        <v>975</v>
      </c>
      <c r="E21" s="87"/>
    </row>
    <row r="22">
      <c r="A22" s="85" t="s">
        <v>258</v>
      </c>
      <c r="B22" s="88" t="s">
        <v>1022</v>
      </c>
      <c r="C22" s="85" t="s">
        <v>388</v>
      </c>
      <c r="D22" s="85" t="s">
        <v>975</v>
      </c>
      <c r="E22" s="89"/>
    </row>
    <row r="23">
      <c r="A23" s="85" t="s">
        <v>258</v>
      </c>
      <c r="B23" s="88" t="s">
        <v>1023</v>
      </c>
      <c r="C23" s="85" t="s">
        <v>388</v>
      </c>
      <c r="D23" s="85" t="s">
        <v>975</v>
      </c>
      <c r="E23" s="89"/>
    </row>
    <row r="24">
      <c r="A24" s="85" t="s">
        <v>258</v>
      </c>
      <c r="B24" s="88" t="s">
        <v>1024</v>
      </c>
      <c r="C24" s="85" t="s">
        <v>388</v>
      </c>
      <c r="D24" s="85" t="s">
        <v>975</v>
      </c>
      <c r="E24" s="89"/>
    </row>
    <row r="25">
      <c r="A25" s="81" t="s">
        <v>54</v>
      </c>
      <c r="B25" s="88" t="s">
        <v>1025</v>
      </c>
      <c r="C25" s="81" t="s">
        <v>55</v>
      </c>
      <c r="D25" s="81" t="s">
        <v>996</v>
      </c>
      <c r="E25" s="81" t="s">
        <v>1026</v>
      </c>
    </row>
    <row r="26">
      <c r="A26" s="81" t="s">
        <v>60</v>
      </c>
      <c r="B26" s="82" t="s">
        <v>1027</v>
      </c>
      <c r="C26" s="81" t="s">
        <v>59</v>
      </c>
      <c r="D26" s="81" t="s">
        <v>975</v>
      </c>
      <c r="E26" s="87"/>
    </row>
    <row r="27">
      <c r="A27" s="81" t="s">
        <v>60</v>
      </c>
      <c r="B27" s="82" t="s">
        <v>1028</v>
      </c>
      <c r="C27" s="81" t="s">
        <v>59</v>
      </c>
      <c r="D27" s="81" t="s">
        <v>975</v>
      </c>
      <c r="E27" s="87"/>
    </row>
    <row r="28">
      <c r="A28" s="81" t="s">
        <v>60</v>
      </c>
      <c r="B28" s="82" t="s">
        <v>1029</v>
      </c>
      <c r="C28" s="81" t="s">
        <v>59</v>
      </c>
      <c r="D28" s="81" t="s">
        <v>975</v>
      </c>
      <c r="E28" s="87"/>
    </row>
    <row r="29">
      <c r="A29" s="81" t="s">
        <v>60</v>
      </c>
      <c r="B29" s="82" t="s">
        <v>1030</v>
      </c>
      <c r="C29" s="81" t="s">
        <v>59</v>
      </c>
      <c r="D29" s="81" t="s">
        <v>975</v>
      </c>
      <c r="E29" s="87"/>
    </row>
    <row r="30">
      <c r="A30" s="81" t="s">
        <v>60</v>
      </c>
      <c r="B30" s="82" t="s">
        <v>1031</v>
      </c>
      <c r="C30" s="81" t="s">
        <v>59</v>
      </c>
      <c r="D30" s="81" t="s">
        <v>975</v>
      </c>
      <c r="E30" s="87"/>
    </row>
    <row r="31">
      <c r="A31" s="81" t="s">
        <v>60</v>
      </c>
      <c r="B31" s="82" t="s">
        <v>1032</v>
      </c>
      <c r="C31" s="81" t="s">
        <v>59</v>
      </c>
      <c r="D31" s="81" t="s">
        <v>975</v>
      </c>
      <c r="E31" s="87"/>
    </row>
    <row r="32">
      <c r="A32" s="81" t="s">
        <v>60</v>
      </c>
      <c r="B32" s="82" t="s">
        <v>1033</v>
      </c>
      <c r="C32" s="81" t="s">
        <v>59</v>
      </c>
      <c r="D32" s="81" t="s">
        <v>975</v>
      </c>
      <c r="E32" s="87"/>
    </row>
    <row r="33">
      <c r="A33" s="81" t="s">
        <v>1034</v>
      </c>
      <c r="B33" s="82" t="s">
        <v>1035</v>
      </c>
      <c r="C33" s="81" t="s">
        <v>59</v>
      </c>
      <c r="D33" s="81" t="s">
        <v>996</v>
      </c>
      <c r="E33" s="83" t="s">
        <v>1036</v>
      </c>
    </row>
    <row r="34">
      <c r="A34" s="81" t="s">
        <v>69</v>
      </c>
      <c r="B34" s="88" t="s">
        <v>1041</v>
      </c>
      <c r="C34" s="81" t="s">
        <v>931</v>
      </c>
      <c r="D34" s="81" t="s">
        <v>975</v>
      </c>
      <c r="E34" s="87"/>
    </row>
    <row r="35">
      <c r="A35" s="81" t="s">
        <v>69</v>
      </c>
      <c r="B35" s="82" t="s">
        <v>1042</v>
      </c>
      <c r="C35" s="81" t="s">
        <v>931</v>
      </c>
      <c r="D35" s="81" t="s">
        <v>975</v>
      </c>
      <c r="E35" s="87"/>
    </row>
    <row r="36">
      <c r="A36" s="81" t="s">
        <v>69</v>
      </c>
      <c r="B36" s="82" t="s">
        <v>1043</v>
      </c>
      <c r="C36" s="81" t="s">
        <v>931</v>
      </c>
      <c r="D36" s="81" t="s">
        <v>975</v>
      </c>
      <c r="E36" s="87"/>
    </row>
    <row r="37">
      <c r="A37" s="81" t="s">
        <v>69</v>
      </c>
      <c r="B37" s="82" t="s">
        <v>1044</v>
      </c>
      <c r="C37" s="81" t="s">
        <v>931</v>
      </c>
      <c r="D37" s="81" t="s">
        <v>975</v>
      </c>
      <c r="E37" s="87"/>
    </row>
    <row r="38">
      <c r="A38" s="81" t="s">
        <v>69</v>
      </c>
      <c r="B38" s="82" t="s">
        <v>1045</v>
      </c>
      <c r="C38" s="81" t="s">
        <v>931</v>
      </c>
      <c r="D38" s="81" t="s">
        <v>975</v>
      </c>
      <c r="E38" s="87"/>
    </row>
    <row r="39">
      <c r="A39" s="81" t="s">
        <v>69</v>
      </c>
      <c r="B39" s="82" t="s">
        <v>1046</v>
      </c>
      <c r="C39" s="81" t="s">
        <v>931</v>
      </c>
      <c r="D39" s="81" t="s">
        <v>975</v>
      </c>
      <c r="E39" s="87"/>
    </row>
    <row r="40">
      <c r="A40" s="81" t="s">
        <v>69</v>
      </c>
      <c r="B40" s="82" t="s">
        <v>1047</v>
      </c>
      <c r="C40" s="81" t="s">
        <v>931</v>
      </c>
      <c r="D40" s="81" t="s">
        <v>975</v>
      </c>
      <c r="E40" s="87"/>
    </row>
    <row r="41">
      <c r="A41" s="81" t="s">
        <v>69</v>
      </c>
      <c r="B41" s="82" t="s">
        <v>1048</v>
      </c>
      <c r="C41" s="81" t="s">
        <v>931</v>
      </c>
      <c r="D41" s="81" t="s">
        <v>975</v>
      </c>
      <c r="E41" s="87"/>
    </row>
    <row r="42">
      <c r="A42" s="81" t="s">
        <v>69</v>
      </c>
      <c r="B42" s="82" t="s">
        <v>1049</v>
      </c>
      <c r="C42" s="81" t="s">
        <v>931</v>
      </c>
      <c r="D42" s="81" t="s">
        <v>975</v>
      </c>
      <c r="E42" s="87"/>
    </row>
    <row r="43">
      <c r="A43" s="81" t="s">
        <v>69</v>
      </c>
      <c r="B43" s="82" t="s">
        <v>1050</v>
      </c>
      <c r="C43" s="81" t="s">
        <v>931</v>
      </c>
      <c r="D43" s="81" t="s">
        <v>975</v>
      </c>
      <c r="E43" s="87"/>
    </row>
    <row r="44">
      <c r="A44" s="81" t="s">
        <v>69</v>
      </c>
      <c r="B44" s="82" t="s">
        <v>1051</v>
      </c>
      <c r="C44" s="81" t="s">
        <v>931</v>
      </c>
      <c r="D44" s="81" t="s">
        <v>996</v>
      </c>
      <c r="E44" s="87"/>
    </row>
    <row r="45">
      <c r="A45" s="81" t="s">
        <v>69</v>
      </c>
      <c r="B45" s="82" t="s">
        <v>1052</v>
      </c>
      <c r="C45" s="81" t="s">
        <v>931</v>
      </c>
      <c r="D45" s="81" t="s">
        <v>996</v>
      </c>
      <c r="E45" s="87"/>
    </row>
    <row r="46">
      <c r="A46" s="81" t="s">
        <v>69</v>
      </c>
      <c r="B46" s="82" t="s">
        <v>1053</v>
      </c>
      <c r="C46" s="81" t="s">
        <v>931</v>
      </c>
      <c r="D46" s="81" t="s">
        <v>996</v>
      </c>
      <c r="E46" s="87"/>
    </row>
    <row r="47">
      <c r="A47" s="81" t="s">
        <v>69</v>
      </c>
      <c r="B47" s="82" t="s">
        <v>1054</v>
      </c>
      <c r="C47" s="81" t="s">
        <v>931</v>
      </c>
      <c r="D47" s="81" t="s">
        <v>996</v>
      </c>
      <c r="E47" s="87"/>
    </row>
    <row r="48">
      <c r="A48" s="81" t="s">
        <v>69</v>
      </c>
      <c r="B48" s="90" t="s">
        <v>1055</v>
      </c>
      <c r="C48" s="81" t="s">
        <v>931</v>
      </c>
      <c r="D48" s="81" t="s">
        <v>996</v>
      </c>
      <c r="E48" s="87"/>
    </row>
    <row r="49">
      <c r="A49" s="81" t="s">
        <v>69</v>
      </c>
      <c r="B49" s="82" t="s">
        <v>1056</v>
      </c>
      <c r="C49" s="81" t="s">
        <v>931</v>
      </c>
      <c r="D49" s="81" t="s">
        <v>996</v>
      </c>
      <c r="E49" s="87"/>
    </row>
    <row r="50">
      <c r="A50" s="81" t="s">
        <v>69</v>
      </c>
      <c r="B50" s="82" t="s">
        <v>1057</v>
      </c>
      <c r="C50" s="81" t="s">
        <v>931</v>
      </c>
      <c r="D50" s="81" t="s">
        <v>996</v>
      </c>
      <c r="E50" s="87"/>
    </row>
    <row r="51">
      <c r="A51" s="81" t="s">
        <v>69</v>
      </c>
      <c r="B51" s="82" t="s">
        <v>1058</v>
      </c>
      <c r="C51" s="81" t="s">
        <v>931</v>
      </c>
      <c r="D51" s="81" t="s">
        <v>996</v>
      </c>
      <c r="E51" s="87"/>
    </row>
    <row r="52">
      <c r="A52" s="81" t="s">
        <v>69</v>
      </c>
      <c r="B52" s="82" t="s">
        <v>1059</v>
      </c>
      <c r="C52" s="81" t="s">
        <v>931</v>
      </c>
      <c r="D52" s="81" t="s">
        <v>996</v>
      </c>
      <c r="E52" s="87"/>
    </row>
    <row r="53">
      <c r="A53" s="81" t="s">
        <v>69</v>
      </c>
      <c r="B53" s="82" t="s">
        <v>1060</v>
      </c>
      <c r="C53" s="81" t="s">
        <v>931</v>
      </c>
      <c r="D53" s="81" t="s">
        <v>996</v>
      </c>
      <c r="E53" s="87"/>
    </row>
    <row r="54">
      <c r="A54" s="81" t="s">
        <v>69</v>
      </c>
      <c r="B54" s="82" t="s">
        <v>1061</v>
      </c>
      <c r="C54" s="81" t="s">
        <v>931</v>
      </c>
      <c r="D54" s="81" t="s">
        <v>996</v>
      </c>
      <c r="E54" s="87"/>
    </row>
    <row r="55">
      <c r="A55" s="81" t="s">
        <v>69</v>
      </c>
      <c r="B55" s="91" t="s">
        <v>1062</v>
      </c>
      <c r="C55" s="81" t="s">
        <v>931</v>
      </c>
      <c r="D55" s="81" t="s">
        <v>996</v>
      </c>
      <c r="E55" s="87"/>
    </row>
    <row r="56">
      <c r="A56" s="81" t="s">
        <v>69</v>
      </c>
      <c r="B56" s="82" t="s">
        <v>1063</v>
      </c>
      <c r="C56" s="81" t="s">
        <v>931</v>
      </c>
      <c r="D56" s="81" t="s">
        <v>996</v>
      </c>
      <c r="E56" s="87"/>
    </row>
    <row r="57">
      <c r="A57" s="81" t="s">
        <v>69</v>
      </c>
      <c r="B57" s="82" t="s">
        <v>1064</v>
      </c>
      <c r="C57" s="81" t="s">
        <v>931</v>
      </c>
      <c r="D57" s="81" t="s">
        <v>996</v>
      </c>
      <c r="E57" s="87"/>
    </row>
    <row r="58">
      <c r="A58" s="81" t="s">
        <v>69</v>
      </c>
      <c r="B58" s="82" t="s">
        <v>1184</v>
      </c>
      <c r="C58" s="81" t="s">
        <v>931</v>
      </c>
      <c r="D58" s="81" t="s">
        <v>996</v>
      </c>
      <c r="E58" s="87"/>
    </row>
    <row r="59">
      <c r="A59" s="81" t="s">
        <v>69</v>
      </c>
      <c r="B59" s="82" t="s">
        <v>1066</v>
      </c>
      <c r="C59" s="81" t="s">
        <v>931</v>
      </c>
      <c r="D59" s="81" t="s">
        <v>996</v>
      </c>
      <c r="E59" s="87"/>
    </row>
    <row r="60">
      <c r="A60" s="81" t="s">
        <v>69</v>
      </c>
      <c r="B60" s="82" t="s">
        <v>1067</v>
      </c>
      <c r="C60" s="81" t="s">
        <v>931</v>
      </c>
      <c r="D60" s="81" t="s">
        <v>996</v>
      </c>
      <c r="E60" s="87"/>
    </row>
    <row r="61">
      <c r="A61" s="81" t="s">
        <v>69</v>
      </c>
      <c r="B61" s="90" t="s">
        <v>1068</v>
      </c>
      <c r="C61" s="81" t="s">
        <v>931</v>
      </c>
      <c r="D61" s="81" t="s">
        <v>996</v>
      </c>
      <c r="E61" s="87"/>
    </row>
    <row r="62">
      <c r="A62" s="81" t="s">
        <v>69</v>
      </c>
      <c r="B62" s="90" t="s">
        <v>1069</v>
      </c>
      <c r="C62" s="81" t="s">
        <v>931</v>
      </c>
      <c r="D62" s="81" t="s">
        <v>996</v>
      </c>
      <c r="E62" s="87"/>
    </row>
    <row r="63">
      <c r="A63" s="81" t="s">
        <v>69</v>
      </c>
      <c r="B63" s="81" t="s">
        <v>1070</v>
      </c>
      <c r="C63" s="81" t="s">
        <v>931</v>
      </c>
      <c r="D63" s="81" t="s">
        <v>996</v>
      </c>
      <c r="E63" s="83" t="s">
        <v>1071</v>
      </c>
    </row>
    <row r="64">
      <c r="A64" s="81" t="s">
        <v>69</v>
      </c>
      <c r="B64" s="82" t="s">
        <v>1072</v>
      </c>
      <c r="C64" s="81" t="s">
        <v>931</v>
      </c>
      <c r="D64" s="81" t="s">
        <v>996</v>
      </c>
      <c r="E64" s="87"/>
    </row>
    <row r="65">
      <c r="A65" s="81" t="s">
        <v>69</v>
      </c>
      <c r="B65" s="82" t="s">
        <v>1067</v>
      </c>
      <c r="C65" s="81" t="s">
        <v>931</v>
      </c>
      <c r="D65" s="81" t="s">
        <v>996</v>
      </c>
      <c r="E65" s="87"/>
    </row>
    <row r="66">
      <c r="A66" s="81" t="s">
        <v>69</v>
      </c>
      <c r="B66" s="90" t="s">
        <v>1073</v>
      </c>
      <c r="C66" s="81" t="s">
        <v>931</v>
      </c>
      <c r="D66" s="81" t="s">
        <v>996</v>
      </c>
      <c r="E66" s="87"/>
    </row>
    <row r="67">
      <c r="A67" s="81" t="s">
        <v>69</v>
      </c>
      <c r="B67" s="82" t="s">
        <v>1074</v>
      </c>
      <c r="C67" s="81" t="s">
        <v>931</v>
      </c>
      <c r="D67" s="81" t="s">
        <v>996</v>
      </c>
      <c r="E67" s="87"/>
    </row>
    <row r="68">
      <c r="A68" s="81" t="s">
        <v>69</v>
      </c>
      <c r="B68" s="82" t="s">
        <v>1075</v>
      </c>
      <c r="C68" s="81" t="s">
        <v>931</v>
      </c>
      <c r="D68" s="81" t="s">
        <v>996</v>
      </c>
      <c r="E68" s="87"/>
    </row>
    <row r="69">
      <c r="A69" s="81" t="s">
        <v>69</v>
      </c>
      <c r="B69" s="92" t="s">
        <v>1076</v>
      </c>
      <c r="C69" s="81" t="s">
        <v>931</v>
      </c>
      <c r="D69" s="81" t="s">
        <v>996</v>
      </c>
      <c r="E69" s="83" t="s">
        <v>1185</v>
      </c>
    </row>
    <row r="70">
      <c r="A70" s="81" t="s">
        <v>69</v>
      </c>
      <c r="B70" s="91" t="s">
        <v>1078</v>
      </c>
      <c r="C70" s="81" t="s">
        <v>931</v>
      </c>
      <c r="D70" s="81" t="s">
        <v>996</v>
      </c>
      <c r="E70" s="87"/>
    </row>
    <row r="71">
      <c r="A71" s="81" t="s">
        <v>69</v>
      </c>
      <c r="B71" s="82" t="s">
        <v>1079</v>
      </c>
      <c r="C71" s="81" t="s">
        <v>931</v>
      </c>
      <c r="D71" s="81" t="s">
        <v>996</v>
      </c>
      <c r="E71" s="87"/>
    </row>
    <row r="72">
      <c r="A72" s="81" t="s">
        <v>69</v>
      </c>
      <c r="B72" s="87"/>
      <c r="C72" s="81" t="s">
        <v>931</v>
      </c>
      <c r="D72" s="81" t="s">
        <v>996</v>
      </c>
      <c r="E72" s="83" t="s">
        <v>1080</v>
      </c>
    </row>
    <row r="73">
      <c r="A73" s="81" t="s">
        <v>69</v>
      </c>
      <c r="B73" s="82" t="s">
        <v>1081</v>
      </c>
      <c r="C73" s="81" t="s">
        <v>931</v>
      </c>
      <c r="D73" s="81" t="s">
        <v>996</v>
      </c>
      <c r="E73" s="87"/>
    </row>
    <row r="74">
      <c r="A74" s="81" t="s">
        <v>1082</v>
      </c>
      <c r="B74" s="82" t="s">
        <v>1083</v>
      </c>
      <c r="C74" s="81" t="s">
        <v>931</v>
      </c>
      <c r="D74" s="81" t="s">
        <v>996</v>
      </c>
      <c r="E74" s="87"/>
    </row>
    <row r="75">
      <c r="A75" s="81" t="s">
        <v>90</v>
      </c>
      <c r="B75" s="82" t="s">
        <v>1084</v>
      </c>
      <c r="C75" s="81" t="s">
        <v>89</v>
      </c>
      <c r="D75" s="81" t="s">
        <v>996</v>
      </c>
      <c r="E75" s="87"/>
    </row>
    <row r="76">
      <c r="A76" s="81" t="s">
        <v>90</v>
      </c>
      <c r="B76" s="93"/>
      <c r="C76" s="81" t="s">
        <v>89</v>
      </c>
      <c r="D76" s="81" t="s">
        <v>996</v>
      </c>
      <c r="E76" s="94" t="s">
        <v>1186</v>
      </c>
    </row>
    <row r="77">
      <c r="A77" s="81" t="s">
        <v>94</v>
      </c>
      <c r="B77" s="95" t="s">
        <v>1086</v>
      </c>
      <c r="C77" s="81" t="s">
        <v>93</v>
      </c>
      <c r="D77" s="81" t="s">
        <v>975</v>
      </c>
      <c r="E77" s="87"/>
    </row>
    <row r="78">
      <c r="A78" s="81" t="s">
        <v>99</v>
      </c>
      <c r="B78" s="82" t="s">
        <v>1087</v>
      </c>
      <c r="C78" s="81" t="s">
        <v>938</v>
      </c>
      <c r="D78" s="81" t="s">
        <v>975</v>
      </c>
      <c r="E78" s="96" t="s">
        <v>1088</v>
      </c>
    </row>
    <row r="79">
      <c r="A79" s="81" t="s">
        <v>99</v>
      </c>
      <c r="B79" s="82" t="s">
        <v>1089</v>
      </c>
      <c r="C79" s="81" t="s">
        <v>938</v>
      </c>
      <c r="D79" s="81" t="s">
        <v>975</v>
      </c>
      <c r="E79" s="96" t="s">
        <v>1090</v>
      </c>
    </row>
    <row r="80">
      <c r="A80" s="81" t="s">
        <v>99</v>
      </c>
      <c r="B80" s="82" t="s">
        <v>1091</v>
      </c>
      <c r="C80" s="81" t="s">
        <v>938</v>
      </c>
      <c r="D80" s="81" t="s">
        <v>975</v>
      </c>
      <c r="E80" s="96" t="s">
        <v>1092</v>
      </c>
    </row>
    <row r="81">
      <c r="A81" s="81" t="s">
        <v>99</v>
      </c>
      <c r="B81" s="82" t="s">
        <v>1093</v>
      </c>
      <c r="C81" s="81" t="s">
        <v>98</v>
      </c>
      <c r="D81" s="81" t="s">
        <v>975</v>
      </c>
      <c r="E81" s="83" t="s">
        <v>1094</v>
      </c>
    </row>
    <row r="82">
      <c r="A82" s="81" t="s">
        <v>99</v>
      </c>
      <c r="B82" s="82" t="s">
        <v>1095</v>
      </c>
      <c r="C82" s="81" t="s">
        <v>938</v>
      </c>
      <c r="D82" s="81" t="s">
        <v>996</v>
      </c>
      <c r="E82" s="96" t="s">
        <v>1096</v>
      </c>
    </row>
    <row r="83">
      <c r="A83" s="81" t="s">
        <v>99</v>
      </c>
      <c r="B83" s="82" t="s">
        <v>1097</v>
      </c>
      <c r="C83" s="81" t="s">
        <v>938</v>
      </c>
      <c r="D83" s="81" t="s">
        <v>996</v>
      </c>
      <c r="E83" s="96" t="s">
        <v>1098</v>
      </c>
    </row>
    <row r="84">
      <c r="A84" s="81" t="s">
        <v>99</v>
      </c>
      <c r="B84" s="82" t="s">
        <v>1099</v>
      </c>
      <c r="C84" s="81" t="s">
        <v>98</v>
      </c>
      <c r="D84" s="81" t="s">
        <v>996</v>
      </c>
      <c r="E84" s="83" t="s">
        <v>1100</v>
      </c>
    </row>
    <row r="85">
      <c r="A85" s="81" t="s">
        <v>99</v>
      </c>
      <c r="B85" s="82" t="s">
        <v>1101</v>
      </c>
      <c r="C85" s="81" t="s">
        <v>98</v>
      </c>
      <c r="D85" s="81" t="s">
        <v>996</v>
      </c>
      <c r="E85" s="83" t="s">
        <v>1102</v>
      </c>
    </row>
    <row r="86">
      <c r="A86" s="81" t="s">
        <v>99</v>
      </c>
      <c r="B86" s="82" t="s">
        <v>1039</v>
      </c>
      <c r="C86" s="81" t="s">
        <v>98</v>
      </c>
      <c r="D86" s="81" t="s">
        <v>996</v>
      </c>
      <c r="E86" s="83" t="s">
        <v>1040</v>
      </c>
    </row>
    <row r="87">
      <c r="A87" s="81" t="s">
        <v>99</v>
      </c>
      <c r="B87" s="82" t="s">
        <v>1103</v>
      </c>
      <c r="C87" s="81" t="s">
        <v>931</v>
      </c>
      <c r="D87" s="81" t="s">
        <v>996</v>
      </c>
      <c r="E87" s="87"/>
    </row>
    <row r="88">
      <c r="A88" s="81" t="s">
        <v>107</v>
      </c>
      <c r="B88" s="82" t="s">
        <v>1104</v>
      </c>
      <c r="C88" s="81" t="s">
        <v>106</v>
      </c>
      <c r="D88" s="81" t="s">
        <v>996</v>
      </c>
      <c r="E88" s="83" t="s">
        <v>1105</v>
      </c>
    </row>
    <row r="89">
      <c r="A89" s="81" t="s">
        <v>107</v>
      </c>
      <c r="B89" s="81" t="s">
        <v>1114</v>
      </c>
      <c r="C89" s="81" t="s">
        <v>1107</v>
      </c>
      <c r="D89" s="81" t="s">
        <v>996</v>
      </c>
      <c r="E89" s="97" t="s">
        <v>1108</v>
      </c>
    </row>
    <row r="90">
      <c r="A90" s="81" t="s">
        <v>1109</v>
      </c>
      <c r="B90" s="95" t="s">
        <v>1110</v>
      </c>
      <c r="C90" s="81" t="s">
        <v>110</v>
      </c>
      <c r="D90" s="81" t="s">
        <v>996</v>
      </c>
      <c r="E90" s="87"/>
    </row>
    <row r="91">
      <c r="A91" s="81" t="s">
        <v>1109</v>
      </c>
      <c r="B91" s="82" t="s">
        <v>1111</v>
      </c>
      <c r="C91" s="81" t="s">
        <v>110</v>
      </c>
      <c r="D91" s="81" t="s">
        <v>996</v>
      </c>
      <c r="E91" s="87"/>
    </row>
    <row r="92">
      <c r="A92" s="81" t="s">
        <v>1109</v>
      </c>
      <c r="B92" s="82" t="s">
        <v>1112</v>
      </c>
      <c r="C92" s="81" t="s">
        <v>521</v>
      </c>
      <c r="D92" s="87"/>
      <c r="E92" s="87"/>
    </row>
    <row r="93">
      <c r="A93" s="81" t="s">
        <v>1109</v>
      </c>
      <c r="B93" s="82" t="s">
        <v>1113</v>
      </c>
      <c r="C93" s="85" t="s">
        <v>521</v>
      </c>
      <c r="D93" s="87"/>
      <c r="E93" s="87"/>
    </row>
    <row r="94">
      <c r="A94" s="81" t="s">
        <v>121</v>
      </c>
      <c r="B94" s="82" t="s">
        <v>1118</v>
      </c>
      <c r="C94" s="81" t="s">
        <v>931</v>
      </c>
      <c r="D94" s="81" t="s">
        <v>996</v>
      </c>
      <c r="E94" s="87"/>
    </row>
    <row r="95">
      <c r="A95" s="81" t="s">
        <v>146</v>
      </c>
      <c r="B95" s="82" t="s">
        <v>1126</v>
      </c>
      <c r="C95" s="81" t="s">
        <v>931</v>
      </c>
      <c r="D95" s="81" t="s">
        <v>996</v>
      </c>
      <c r="E95" s="87"/>
    </row>
    <row r="96">
      <c r="A96" s="81" t="s">
        <v>149</v>
      </c>
      <c r="B96" s="82" t="s">
        <v>1127</v>
      </c>
      <c r="C96" s="81" t="s">
        <v>647</v>
      </c>
      <c r="D96" s="87"/>
      <c r="E96" s="83" t="s">
        <v>1128</v>
      </c>
    </row>
    <row r="97">
      <c r="A97" s="81" t="s">
        <v>149</v>
      </c>
      <c r="B97" s="82" t="s">
        <v>1129</v>
      </c>
      <c r="C97" s="81" t="s">
        <v>647</v>
      </c>
      <c r="D97" s="87"/>
      <c r="E97" s="83" t="s">
        <v>1130</v>
      </c>
    </row>
    <row r="98">
      <c r="A98" s="81" t="s">
        <v>149</v>
      </c>
      <c r="B98" s="82" t="s">
        <v>1131</v>
      </c>
      <c r="C98" s="81" t="s">
        <v>647</v>
      </c>
      <c r="D98" s="87"/>
      <c r="E98" s="83" t="s">
        <v>1132</v>
      </c>
    </row>
    <row r="99">
      <c r="A99" s="81" t="s">
        <v>149</v>
      </c>
      <c r="B99" s="82" t="s">
        <v>1133</v>
      </c>
      <c r="C99" s="81" t="s">
        <v>647</v>
      </c>
      <c r="D99" s="87"/>
      <c r="E99" s="83" t="s">
        <v>1134</v>
      </c>
    </row>
    <row r="100">
      <c r="A100" s="81" t="s">
        <v>153</v>
      </c>
      <c r="B100" s="82" t="s">
        <v>1135</v>
      </c>
      <c r="C100" s="81" t="s">
        <v>156</v>
      </c>
      <c r="D100" s="81" t="s">
        <v>996</v>
      </c>
      <c r="E100" s="83" t="s">
        <v>1136</v>
      </c>
    </row>
    <row r="101">
      <c r="A101" s="81" t="s">
        <v>161</v>
      </c>
      <c r="B101" s="82" t="s">
        <v>1137</v>
      </c>
      <c r="C101" s="81" t="s">
        <v>160</v>
      </c>
      <c r="D101" s="87"/>
      <c r="E101" s="98" t="s">
        <v>1138</v>
      </c>
    </row>
    <row r="102">
      <c r="A102" s="81" t="s">
        <v>169</v>
      </c>
      <c r="B102" s="99" t="s">
        <v>1139</v>
      </c>
      <c r="C102" s="81" t="s">
        <v>168</v>
      </c>
      <c r="D102" s="81" t="s">
        <v>996</v>
      </c>
      <c r="E102" s="87"/>
    </row>
    <row r="103">
      <c r="A103" s="81" t="s">
        <v>169</v>
      </c>
      <c r="B103" s="100" t="s">
        <v>1140</v>
      </c>
      <c r="C103" s="81" t="s">
        <v>168</v>
      </c>
      <c r="D103" s="81" t="s">
        <v>996</v>
      </c>
      <c r="E103" s="87"/>
    </row>
    <row r="104">
      <c r="A104" s="81" t="s">
        <v>169</v>
      </c>
      <c r="B104" s="82" t="s">
        <v>1083</v>
      </c>
      <c r="C104" s="81" t="s">
        <v>183</v>
      </c>
      <c r="D104" s="81" t="s">
        <v>996</v>
      </c>
      <c r="E104" s="87"/>
    </row>
    <row r="105">
      <c r="A105" s="81" t="s">
        <v>169</v>
      </c>
      <c r="B105" s="82" t="s">
        <v>1141</v>
      </c>
      <c r="C105" s="82" t="s">
        <v>1142</v>
      </c>
      <c r="D105" s="81" t="s">
        <v>996</v>
      </c>
      <c r="E105" s="87"/>
    </row>
    <row r="106">
      <c r="A106" s="81" t="s">
        <v>169</v>
      </c>
      <c r="B106" s="82" t="s">
        <v>1143</v>
      </c>
      <c r="C106" s="82" t="s">
        <v>1142</v>
      </c>
      <c r="D106" s="81" t="s">
        <v>996</v>
      </c>
      <c r="E106" s="87"/>
    </row>
    <row r="107">
      <c r="A107" s="81" t="s">
        <v>169</v>
      </c>
      <c r="B107" s="101" t="s">
        <v>1144</v>
      </c>
      <c r="C107" s="82" t="s">
        <v>1142</v>
      </c>
      <c r="D107" s="81" t="s">
        <v>996</v>
      </c>
      <c r="E107" s="102" t="s">
        <v>1145</v>
      </c>
    </row>
    <row r="108">
      <c r="A108" s="81" t="s">
        <v>169</v>
      </c>
      <c r="B108" s="95" t="s">
        <v>1146</v>
      </c>
      <c r="C108" s="82" t="s">
        <v>1142</v>
      </c>
      <c r="D108" s="81" t="s">
        <v>1147</v>
      </c>
      <c r="E108" s="103" t="s">
        <v>1187</v>
      </c>
    </row>
    <row r="109">
      <c r="A109" s="81" t="s">
        <v>192</v>
      </c>
      <c r="B109" s="82" t="s">
        <v>1149</v>
      </c>
      <c r="C109" s="81" t="s">
        <v>217</v>
      </c>
      <c r="D109" s="81" t="s">
        <v>996</v>
      </c>
      <c r="E109" s="87"/>
    </row>
    <row r="110">
      <c r="A110" s="81" t="s">
        <v>192</v>
      </c>
      <c r="B110" s="82" t="s">
        <v>1150</v>
      </c>
      <c r="C110" s="81" t="s">
        <v>191</v>
      </c>
      <c r="D110" s="81" t="s">
        <v>996</v>
      </c>
      <c r="E110" s="87"/>
    </row>
    <row r="111">
      <c r="A111" s="81" t="s">
        <v>265</v>
      </c>
      <c r="B111" s="93"/>
      <c r="C111" s="81" t="s">
        <v>740</v>
      </c>
      <c r="D111" s="81" t="s">
        <v>996</v>
      </c>
      <c r="E111" s="81" t="s">
        <v>1151</v>
      </c>
    </row>
    <row r="112">
      <c r="A112" s="81" t="s">
        <v>1152</v>
      </c>
      <c r="B112" s="82" t="s">
        <v>1150</v>
      </c>
      <c r="C112" s="81" t="s">
        <v>740</v>
      </c>
      <c r="D112" s="81" t="s">
        <v>996</v>
      </c>
      <c r="E112" s="87"/>
    </row>
    <row r="113">
      <c r="A113" s="81" t="s">
        <v>202</v>
      </c>
      <c r="B113" s="82" t="s">
        <v>1153</v>
      </c>
      <c r="C113" s="81" t="s">
        <v>201</v>
      </c>
      <c r="D113" s="81" t="s">
        <v>996</v>
      </c>
      <c r="E113" s="83" t="s">
        <v>1154</v>
      </c>
    </row>
    <row r="114">
      <c r="A114" s="81" t="s">
        <v>202</v>
      </c>
      <c r="B114" s="82" t="s">
        <v>1155</v>
      </c>
      <c r="C114" s="81" t="s">
        <v>201</v>
      </c>
      <c r="D114" s="81" t="s">
        <v>996</v>
      </c>
      <c r="E114" s="83" t="s">
        <v>1156</v>
      </c>
    </row>
    <row r="115">
      <c r="A115" s="81" t="s">
        <v>205</v>
      </c>
      <c r="B115" s="95" t="s">
        <v>1157</v>
      </c>
      <c r="C115" s="81" t="s">
        <v>1158</v>
      </c>
      <c r="D115" s="81" t="s">
        <v>996</v>
      </c>
      <c r="E115" s="87"/>
    </row>
    <row r="116">
      <c r="A116" s="81" t="s">
        <v>205</v>
      </c>
      <c r="B116" s="82" t="s">
        <v>1159</v>
      </c>
      <c r="C116" s="81" t="s">
        <v>1158</v>
      </c>
      <c r="D116" s="81" t="s">
        <v>996</v>
      </c>
      <c r="E116" s="87"/>
    </row>
    <row r="117">
      <c r="A117" s="81" t="s">
        <v>205</v>
      </c>
      <c r="B117" s="82" t="s">
        <v>1160</v>
      </c>
      <c r="C117" s="81" t="s">
        <v>1158</v>
      </c>
      <c r="D117" s="81" t="s">
        <v>996</v>
      </c>
      <c r="E117" s="87"/>
    </row>
    <row r="118">
      <c r="A118" s="81" t="s">
        <v>205</v>
      </c>
      <c r="B118" s="82" t="s">
        <v>1161</v>
      </c>
      <c r="C118" s="81" t="s">
        <v>1158</v>
      </c>
      <c r="D118" s="81" t="s">
        <v>996</v>
      </c>
      <c r="E118" s="87"/>
    </row>
    <row r="119">
      <c r="A119" s="81" t="s">
        <v>205</v>
      </c>
      <c r="B119" s="82" t="s">
        <v>1162</v>
      </c>
      <c r="C119" s="81" t="s">
        <v>1158</v>
      </c>
      <c r="D119" s="81" t="s">
        <v>996</v>
      </c>
      <c r="E119" s="87"/>
    </row>
    <row r="120">
      <c r="A120" s="81" t="s">
        <v>205</v>
      </c>
      <c r="B120" s="82" t="s">
        <v>1163</v>
      </c>
      <c r="C120" s="81" t="s">
        <v>1158</v>
      </c>
      <c r="D120" s="81" t="s">
        <v>996</v>
      </c>
      <c r="E120" s="87"/>
    </row>
    <row r="121">
      <c r="A121" s="81" t="s">
        <v>205</v>
      </c>
      <c r="B121" s="82" t="s">
        <v>1164</v>
      </c>
      <c r="C121" s="81" t="s">
        <v>1158</v>
      </c>
      <c r="D121" s="81" t="s">
        <v>996</v>
      </c>
      <c r="E121" s="87"/>
    </row>
    <row r="122">
      <c r="A122" s="81" t="s">
        <v>205</v>
      </c>
      <c r="B122" s="82" t="s">
        <v>1165</v>
      </c>
      <c r="C122" s="81" t="s">
        <v>1158</v>
      </c>
      <c r="D122" s="81" t="s">
        <v>996</v>
      </c>
      <c r="E122" s="87"/>
    </row>
    <row r="123">
      <c r="A123" s="81" t="s">
        <v>205</v>
      </c>
      <c r="B123" s="82" t="s">
        <v>1166</v>
      </c>
      <c r="C123" s="81" t="s">
        <v>1158</v>
      </c>
      <c r="D123" s="81" t="s">
        <v>996</v>
      </c>
      <c r="E123" s="87"/>
    </row>
    <row r="124">
      <c r="A124" s="81" t="s">
        <v>205</v>
      </c>
      <c r="B124" s="82" t="s">
        <v>1157</v>
      </c>
      <c r="C124" s="81" t="s">
        <v>1158</v>
      </c>
      <c r="D124" s="81" t="s">
        <v>996</v>
      </c>
      <c r="E124" s="87"/>
    </row>
    <row r="125">
      <c r="A125" s="81" t="s">
        <v>205</v>
      </c>
      <c r="B125" s="82" t="s">
        <v>1167</v>
      </c>
      <c r="C125" s="81" t="s">
        <v>1158</v>
      </c>
      <c r="D125" s="81" t="s">
        <v>996</v>
      </c>
      <c r="E125" s="87"/>
    </row>
    <row r="126">
      <c r="A126" s="81" t="s">
        <v>205</v>
      </c>
      <c r="B126" s="82" t="s">
        <v>1168</v>
      </c>
      <c r="C126" s="81" t="s">
        <v>1158</v>
      </c>
      <c r="D126" s="81" t="s">
        <v>996</v>
      </c>
      <c r="E126" s="87"/>
    </row>
    <row r="127">
      <c r="A127" s="81" t="s">
        <v>205</v>
      </c>
      <c r="B127" s="82" t="s">
        <v>1168</v>
      </c>
      <c r="C127" s="81" t="s">
        <v>1158</v>
      </c>
      <c r="D127" s="81" t="s">
        <v>996</v>
      </c>
      <c r="E127" s="87"/>
    </row>
    <row r="128">
      <c r="A128" s="81" t="s">
        <v>205</v>
      </c>
      <c r="B128" s="88" t="s">
        <v>1169</v>
      </c>
      <c r="C128" s="81" t="s">
        <v>210</v>
      </c>
      <c r="D128" s="81" t="s">
        <v>996</v>
      </c>
      <c r="E128" s="87"/>
    </row>
    <row r="129">
      <c r="A129" s="81" t="s">
        <v>205</v>
      </c>
      <c r="B129" s="88" t="s">
        <v>1170</v>
      </c>
      <c r="C129" s="81" t="s">
        <v>210</v>
      </c>
      <c r="D129" s="81" t="s">
        <v>996</v>
      </c>
      <c r="E129" s="87"/>
    </row>
    <row r="130">
      <c r="A130" s="81" t="s">
        <v>205</v>
      </c>
      <c r="B130" s="82" t="s">
        <v>1171</v>
      </c>
      <c r="C130" s="81" t="s">
        <v>210</v>
      </c>
      <c r="D130" s="81" t="s">
        <v>996</v>
      </c>
      <c r="E130" s="83" t="s">
        <v>1172</v>
      </c>
    </row>
    <row r="131">
      <c r="A131" s="2" t="s">
        <v>1173</v>
      </c>
      <c r="B131" s="79" t="s">
        <v>1174</v>
      </c>
      <c r="C131" s="2" t="s">
        <v>238</v>
      </c>
      <c r="D131" s="2" t="s">
        <v>996</v>
      </c>
    </row>
    <row r="132">
      <c r="A132" s="2" t="s">
        <v>1173</v>
      </c>
      <c r="B132" s="20" t="s">
        <v>1175</v>
      </c>
      <c r="C132" s="2" t="s">
        <v>238</v>
      </c>
      <c r="D132" s="2" t="s">
        <v>996</v>
      </c>
    </row>
    <row r="133">
      <c r="A133" s="2" t="s">
        <v>1173</v>
      </c>
      <c r="B133" s="20" t="s">
        <v>1176</v>
      </c>
      <c r="C133" s="2" t="s">
        <v>238</v>
      </c>
      <c r="D133" s="2" t="s">
        <v>996</v>
      </c>
    </row>
    <row r="134">
      <c r="A134" s="2" t="s">
        <v>1188</v>
      </c>
      <c r="B134" s="104" t="s">
        <v>1189</v>
      </c>
      <c r="C134" s="2" t="s">
        <v>164</v>
      </c>
      <c r="D134" s="2" t="s">
        <v>975</v>
      </c>
      <c r="E134" s="105" t="s">
        <v>1190</v>
      </c>
    </row>
    <row r="135">
      <c r="A135" s="2" t="s">
        <v>1188</v>
      </c>
      <c r="B135" s="104" t="s">
        <v>1191</v>
      </c>
      <c r="C135" s="2" t="s">
        <v>164</v>
      </c>
      <c r="D135" s="2" t="s">
        <v>975</v>
      </c>
      <c r="E135" s="106" t="s">
        <v>1192</v>
      </c>
    </row>
    <row r="136">
      <c r="A136" s="2" t="s">
        <v>1188</v>
      </c>
      <c r="B136" s="104" t="s">
        <v>1193</v>
      </c>
      <c r="C136" s="2" t="s">
        <v>164</v>
      </c>
      <c r="D136" s="2" t="s">
        <v>975</v>
      </c>
      <c r="E136" s="105" t="s">
        <v>1194</v>
      </c>
    </row>
    <row r="137">
      <c r="A137" s="2" t="s">
        <v>1188</v>
      </c>
      <c r="B137" s="104" t="s">
        <v>1195</v>
      </c>
      <c r="C137" s="2" t="s">
        <v>164</v>
      </c>
      <c r="D137" s="2" t="s">
        <v>975</v>
      </c>
      <c r="E137" s="105" t="s">
        <v>1196</v>
      </c>
    </row>
    <row r="138">
      <c r="A138" s="2" t="s">
        <v>1188</v>
      </c>
      <c r="B138" s="19" t="s">
        <v>1197</v>
      </c>
      <c r="C138" s="2" t="s">
        <v>164</v>
      </c>
      <c r="D138" s="2" t="s">
        <v>975</v>
      </c>
      <c r="E138" s="105" t="s">
        <v>1198</v>
      </c>
    </row>
    <row r="139">
      <c r="A139" s="2" t="s">
        <v>1188</v>
      </c>
      <c r="B139" s="104" t="s">
        <v>1199</v>
      </c>
      <c r="C139" s="2" t="s">
        <v>164</v>
      </c>
      <c r="D139" s="2" t="s">
        <v>975</v>
      </c>
      <c r="E139" s="105" t="s">
        <v>1200</v>
      </c>
    </row>
    <row r="140">
      <c r="A140" s="2" t="s">
        <v>1188</v>
      </c>
      <c r="B140" s="20" t="s">
        <v>1201</v>
      </c>
      <c r="C140" s="2" t="s">
        <v>164</v>
      </c>
      <c r="D140" s="2" t="s">
        <v>975</v>
      </c>
      <c r="E140" s="2" t="s">
        <v>1202</v>
      </c>
    </row>
  </sheetData>
  <hyperlinks>
    <hyperlink r:id="rId1" ref="B2"/>
    <hyperlink r:id="rId2" ref="C2"/>
    <hyperlink r:id="rId3" ref="B4"/>
    <hyperlink r:id="rId4" ref="B11"/>
    <hyperlink r:id="rId5" ref="B12"/>
    <hyperlink r:id="rId6" ref="B13"/>
    <hyperlink r:id="rId7" ref="B14"/>
    <hyperlink r:id="rId8" ref="B15"/>
    <hyperlink r:id="rId9" ref="B16"/>
    <hyperlink r:id="rId10" ref="B17"/>
    <hyperlink r:id="rId11" ref="B18"/>
    <hyperlink r:id="rId12" ref="B19"/>
    <hyperlink r:id="rId13" ref="B20"/>
    <hyperlink r:id="rId14" ref="B21"/>
    <hyperlink r:id="rId15" ref="B22"/>
    <hyperlink r:id="rId16" ref="B23"/>
    <hyperlink r:id="rId17" ref="B24"/>
    <hyperlink r:id="rId18" ref="B25"/>
    <hyperlink r:id="rId19" ref="B26"/>
    <hyperlink r:id="rId20" ref="B27"/>
    <hyperlink r:id="rId21" ref="B28"/>
    <hyperlink r:id="rId22" ref="B29"/>
    <hyperlink r:id="rId23" ref="B30"/>
    <hyperlink r:id="rId24" ref="B31"/>
    <hyperlink r:id="rId25" ref="B32"/>
    <hyperlink r:id="rId26" ref="B33"/>
    <hyperlink r:id="rId27" ref="B34"/>
    <hyperlink r:id="rId28" ref="B35"/>
    <hyperlink r:id="rId29" ref="B36"/>
    <hyperlink r:id="rId30" ref="B37"/>
    <hyperlink r:id="rId31" ref="B38"/>
    <hyperlink r:id="rId32" ref="B39"/>
    <hyperlink r:id="rId33" ref="B40"/>
    <hyperlink r:id="rId34" ref="B41"/>
    <hyperlink r:id="rId35" ref="B42"/>
    <hyperlink r:id="rId36" ref="B43"/>
    <hyperlink r:id="rId37" ref="B44"/>
    <hyperlink r:id="rId38" ref="B45"/>
    <hyperlink r:id="rId39" ref="B46"/>
    <hyperlink r:id="rId40" ref="B47"/>
    <hyperlink r:id="rId41" ref="B48"/>
    <hyperlink r:id="rId42" ref="B49"/>
    <hyperlink r:id="rId43" ref="B50"/>
    <hyperlink r:id="rId44" ref="B51"/>
    <hyperlink r:id="rId45" ref="B52"/>
    <hyperlink r:id="rId46" ref="B53"/>
    <hyperlink r:id="rId47" ref="B54"/>
    <hyperlink r:id="rId48" ref="B55"/>
    <hyperlink r:id="rId49" ref="B56"/>
    <hyperlink r:id="rId50" ref="B57"/>
    <hyperlink r:id="rId51" ref="B58"/>
    <hyperlink r:id="rId52" ref="B59"/>
    <hyperlink r:id="rId53" ref="B60"/>
    <hyperlink r:id="rId54" ref="B61"/>
    <hyperlink r:id="rId55" ref="B62"/>
    <hyperlink r:id="rId56" ref="B64"/>
    <hyperlink r:id="rId57" ref="B65"/>
    <hyperlink r:id="rId58" ref="B66"/>
    <hyperlink r:id="rId59" ref="B67"/>
    <hyperlink r:id="rId60" ref="B68"/>
    <hyperlink r:id="rId61" ref="B69"/>
    <hyperlink r:id="rId62" ref="B70"/>
    <hyperlink r:id="rId63" ref="B71"/>
    <hyperlink r:id="rId64" ref="B73"/>
    <hyperlink r:id="rId65" ref="B74"/>
    <hyperlink r:id="rId66" ref="B75"/>
    <hyperlink r:id="rId67" ref="E76"/>
    <hyperlink r:id="rId68" ref="B77"/>
    <hyperlink r:id="rId69" ref="B78"/>
    <hyperlink r:id="rId70" ref="B79"/>
    <hyperlink r:id="rId71" ref="B80"/>
    <hyperlink r:id="rId72" ref="B81"/>
    <hyperlink r:id="rId73" ref="B82"/>
    <hyperlink r:id="rId74" ref="B83"/>
    <hyperlink r:id="rId75" ref="B84"/>
    <hyperlink r:id="rId76" ref="B85"/>
    <hyperlink r:id="rId77" ref="B86"/>
    <hyperlink r:id="rId78" ref="B87"/>
    <hyperlink r:id="rId79" ref="B88"/>
    <hyperlink r:id="rId80" ref="B90"/>
    <hyperlink r:id="rId81" ref="B91"/>
    <hyperlink r:id="rId82" ref="B92"/>
    <hyperlink r:id="rId83" ref="B93"/>
    <hyperlink r:id="rId84" ref="B94"/>
    <hyperlink r:id="rId85" ref="B95"/>
    <hyperlink r:id="rId86" ref="B96"/>
    <hyperlink r:id="rId87" ref="B97"/>
    <hyperlink r:id="rId88" ref="B98"/>
    <hyperlink r:id="rId89" ref="B99"/>
    <hyperlink r:id="rId90" ref="B100"/>
    <hyperlink r:id="rId91" ref="B101"/>
    <hyperlink r:id="rId92" ref="B103"/>
    <hyperlink r:id="rId93" ref="B104"/>
    <hyperlink r:id="rId94" ref="B105"/>
    <hyperlink r:id="rId95" ref="C105"/>
    <hyperlink r:id="rId96" ref="B106"/>
    <hyperlink r:id="rId97" ref="C106"/>
    <hyperlink r:id="rId98" ref="C107"/>
    <hyperlink r:id="rId99" ref="B108"/>
    <hyperlink r:id="rId100" ref="C108"/>
    <hyperlink r:id="rId101" ref="E108"/>
    <hyperlink r:id="rId102" ref="B109"/>
    <hyperlink r:id="rId103" ref="B110"/>
    <hyperlink r:id="rId104" ref="B112"/>
    <hyperlink r:id="rId105" ref="B113"/>
    <hyperlink r:id="rId106" ref="B114"/>
    <hyperlink r:id="rId107" ref="B115"/>
    <hyperlink r:id="rId108" ref="B116"/>
    <hyperlink r:id="rId109" ref="B117"/>
    <hyperlink r:id="rId110" ref="B118"/>
    <hyperlink r:id="rId111" ref="B119"/>
    <hyperlink r:id="rId112" ref="B120"/>
    <hyperlink r:id="rId113" ref="B121"/>
    <hyperlink r:id="rId114" ref="B122"/>
    <hyperlink r:id="rId115" ref="B123"/>
    <hyperlink r:id="rId116" ref="B124"/>
    <hyperlink r:id="rId117" ref="B125"/>
    <hyperlink r:id="rId118" ref="B126"/>
    <hyperlink r:id="rId119" ref="B127"/>
    <hyperlink r:id="rId120" ref="B128"/>
    <hyperlink r:id="rId121" ref="B129"/>
    <hyperlink r:id="rId122" ref="B130"/>
    <hyperlink r:id="rId123" ref="B131"/>
    <hyperlink r:id="rId124" ref="B132"/>
    <hyperlink r:id="rId125" ref="B133"/>
    <hyperlink r:id="rId126" ref="B134"/>
    <hyperlink r:id="rId127" ref="B135"/>
    <hyperlink r:id="rId128" ref="B136"/>
    <hyperlink r:id="rId129" ref="B137"/>
    <hyperlink r:id="rId130" ref="B138"/>
    <hyperlink r:id="rId131" ref="B139"/>
    <hyperlink r:id="rId132" ref="B140"/>
  </hyperlinks>
  <drawing r:id="rId13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7.5"/>
    <col customWidth="1" min="2" max="2" width="79.5"/>
    <col customWidth="1" min="3" max="3" width="19.63"/>
    <col customWidth="1" min="5" max="5" width="54.13"/>
    <col customWidth="1" min="6" max="6" width="21.38"/>
    <col customWidth="1" min="8" max="8" width="18.38"/>
    <col customWidth="1" min="10" max="10" width="18.38"/>
  </cols>
  <sheetData>
    <row r="1">
      <c r="A1" s="107" t="s">
        <v>1203</v>
      </c>
      <c r="B1" s="108"/>
      <c r="C1" s="108"/>
      <c r="D1" s="108"/>
      <c r="E1" s="108"/>
      <c r="F1" s="108"/>
      <c r="G1" s="108"/>
      <c r="H1" s="108"/>
      <c r="I1" s="108"/>
      <c r="J1" s="108"/>
      <c r="K1" s="108"/>
      <c r="L1" s="108"/>
    </row>
    <row r="2">
      <c r="A2" s="109" t="s">
        <v>270</v>
      </c>
      <c r="B2" s="110" t="s">
        <v>1204</v>
      </c>
      <c r="C2" s="110" t="s">
        <v>1205</v>
      </c>
      <c r="D2" s="110" t="s">
        <v>1206</v>
      </c>
      <c r="E2" s="110" t="s">
        <v>1207</v>
      </c>
      <c r="F2" s="110" t="s">
        <v>1208</v>
      </c>
      <c r="G2" s="110" t="s">
        <v>1209</v>
      </c>
      <c r="H2" s="110" t="s">
        <v>1210</v>
      </c>
      <c r="I2" s="110" t="s">
        <v>1211</v>
      </c>
      <c r="J2" s="110" t="s">
        <v>1212</v>
      </c>
      <c r="K2" s="110" t="s">
        <v>1213</v>
      </c>
      <c r="L2" s="110" t="s">
        <v>1214</v>
      </c>
      <c r="M2" s="111"/>
    </row>
    <row r="3">
      <c r="A3" s="27" t="s">
        <v>1215</v>
      </c>
      <c r="B3" s="27" t="s">
        <v>1215</v>
      </c>
      <c r="C3" s="27" t="s">
        <v>1215</v>
      </c>
      <c r="D3" s="27" t="s">
        <v>1215</v>
      </c>
      <c r="E3" s="27" t="s">
        <v>1215</v>
      </c>
      <c r="F3" s="27" t="s">
        <v>1215</v>
      </c>
      <c r="G3" s="27" t="s">
        <v>1215</v>
      </c>
      <c r="H3" s="27" t="s">
        <v>1215</v>
      </c>
      <c r="I3" s="27" t="s">
        <v>1215</v>
      </c>
      <c r="J3" s="27" t="s">
        <v>1215</v>
      </c>
      <c r="K3" s="27" t="s">
        <v>1215</v>
      </c>
      <c r="L3" s="27" t="s">
        <v>1215</v>
      </c>
    </row>
    <row r="4">
      <c r="A4" s="27" t="s">
        <v>90</v>
      </c>
      <c r="B4" s="27" t="s">
        <v>1216</v>
      </c>
      <c r="C4" s="27" t="s">
        <v>1217</v>
      </c>
      <c r="D4" s="28"/>
      <c r="E4" s="27" t="s">
        <v>1218</v>
      </c>
      <c r="F4" s="27" t="s">
        <v>90</v>
      </c>
      <c r="G4" s="27" t="s">
        <v>21</v>
      </c>
      <c r="H4" s="27" t="s">
        <v>1219</v>
      </c>
      <c r="I4" s="112" t="s">
        <v>1220</v>
      </c>
      <c r="J4" s="27" t="s">
        <v>1221</v>
      </c>
      <c r="K4" s="27">
        <v>2021.0</v>
      </c>
      <c r="L4" s="27" t="s">
        <v>1222</v>
      </c>
    </row>
    <row r="5">
      <c r="A5" s="27" t="s">
        <v>1223</v>
      </c>
      <c r="B5" s="30" t="s">
        <v>1224</v>
      </c>
      <c r="C5" s="27" t="s">
        <v>1225</v>
      </c>
      <c r="D5" s="27">
        <v>5.0</v>
      </c>
      <c r="E5" s="27" t="s">
        <v>1226</v>
      </c>
      <c r="F5" s="27" t="s">
        <v>1223</v>
      </c>
      <c r="G5" s="27" t="s">
        <v>1227</v>
      </c>
      <c r="H5" s="27" t="s">
        <v>1228</v>
      </c>
      <c r="I5" s="27">
        <v>100000.0</v>
      </c>
      <c r="J5" s="27" t="s">
        <v>1229</v>
      </c>
      <c r="K5" s="27">
        <v>2021.0</v>
      </c>
      <c r="L5" s="27" t="s">
        <v>1230</v>
      </c>
    </row>
    <row r="6">
      <c r="A6" s="113" t="s">
        <v>60</v>
      </c>
      <c r="B6" s="114" t="s">
        <v>1231</v>
      </c>
      <c r="C6" s="113" t="s">
        <v>1232</v>
      </c>
      <c r="D6" s="113">
        <v>2.0</v>
      </c>
      <c r="E6" s="113" t="s">
        <v>1233</v>
      </c>
      <c r="F6" s="113" t="s">
        <v>60</v>
      </c>
      <c r="G6" s="113" t="s">
        <v>975</v>
      </c>
      <c r="H6" s="113" t="s">
        <v>1234</v>
      </c>
      <c r="I6" s="113">
        <v>25000.0</v>
      </c>
      <c r="J6" s="113" t="s">
        <v>1235</v>
      </c>
      <c r="K6" s="113">
        <v>2022.0</v>
      </c>
      <c r="L6" s="113" t="s">
        <v>1236</v>
      </c>
      <c r="M6" s="115"/>
      <c r="N6" s="115"/>
      <c r="O6" s="115"/>
      <c r="P6" s="115"/>
      <c r="Q6" s="115"/>
      <c r="R6" s="115"/>
      <c r="S6" s="115"/>
      <c r="T6" s="115"/>
      <c r="U6" s="115"/>
      <c r="V6" s="115"/>
      <c r="W6" s="115"/>
      <c r="X6" s="115"/>
      <c r="Y6" s="115"/>
      <c r="Z6" s="115"/>
    </row>
    <row r="7">
      <c r="A7" s="27" t="s">
        <v>60</v>
      </c>
      <c r="B7" s="27" t="s">
        <v>1237</v>
      </c>
      <c r="C7" s="27" t="s">
        <v>1232</v>
      </c>
      <c r="D7" s="27">
        <v>2.0</v>
      </c>
      <c r="E7" s="27" t="s">
        <v>1233</v>
      </c>
      <c r="F7" s="27" t="s">
        <v>60</v>
      </c>
      <c r="G7" s="27" t="s">
        <v>975</v>
      </c>
      <c r="H7" s="27" t="s">
        <v>1238</v>
      </c>
      <c r="I7" s="27">
        <v>22000.0</v>
      </c>
      <c r="J7" s="27" t="s">
        <v>1239</v>
      </c>
      <c r="K7" s="27">
        <v>2022.0</v>
      </c>
      <c r="L7" s="27" t="s">
        <v>1240</v>
      </c>
    </row>
    <row r="8">
      <c r="A8" s="27" t="s">
        <v>60</v>
      </c>
      <c r="B8" s="27" t="s">
        <v>1241</v>
      </c>
      <c r="C8" s="27" t="s">
        <v>1232</v>
      </c>
      <c r="D8" s="27">
        <v>3.0</v>
      </c>
      <c r="E8" s="116" t="s">
        <v>1242</v>
      </c>
      <c r="F8" s="27" t="s">
        <v>60</v>
      </c>
      <c r="G8" s="27" t="s">
        <v>975</v>
      </c>
      <c r="H8" s="27" t="s">
        <v>1238</v>
      </c>
      <c r="I8" s="27">
        <v>80000.0</v>
      </c>
      <c r="J8" s="27" t="s">
        <v>1243</v>
      </c>
      <c r="K8" s="27">
        <v>2021.0</v>
      </c>
      <c r="L8" s="27" t="s">
        <v>1244</v>
      </c>
    </row>
    <row r="9">
      <c r="A9" s="113" t="s">
        <v>107</v>
      </c>
      <c r="B9" s="113" t="s">
        <v>1245</v>
      </c>
      <c r="C9" s="113" t="s">
        <v>1246</v>
      </c>
      <c r="D9" s="113">
        <v>5.0</v>
      </c>
      <c r="E9" s="113" t="s">
        <v>1247</v>
      </c>
      <c r="F9" s="113" t="s">
        <v>1248</v>
      </c>
      <c r="G9" s="113" t="s">
        <v>1227</v>
      </c>
      <c r="H9" s="117" t="s">
        <v>1249</v>
      </c>
      <c r="I9" s="113">
        <v>400000.0</v>
      </c>
      <c r="J9" s="113" t="s">
        <v>1250</v>
      </c>
      <c r="K9" s="113">
        <v>2022.0</v>
      </c>
      <c r="L9" s="113" t="s">
        <v>1251</v>
      </c>
      <c r="M9" s="115"/>
      <c r="N9" s="115"/>
      <c r="O9" s="115"/>
      <c r="P9" s="115"/>
      <c r="Q9" s="115"/>
      <c r="R9" s="115"/>
      <c r="S9" s="115"/>
      <c r="T9" s="115"/>
      <c r="U9" s="115"/>
      <c r="V9" s="115"/>
      <c r="W9" s="115"/>
      <c r="X9" s="115"/>
      <c r="Y9" s="115"/>
      <c r="Z9" s="115"/>
    </row>
    <row r="10">
      <c r="A10" s="27" t="s">
        <v>107</v>
      </c>
      <c r="B10" s="27" t="s">
        <v>1252</v>
      </c>
      <c r="C10" s="27" t="s">
        <v>1253</v>
      </c>
      <c r="D10" s="27">
        <v>3.0</v>
      </c>
      <c r="E10" s="27" t="s">
        <v>1254</v>
      </c>
      <c r="F10" s="116" t="s">
        <v>107</v>
      </c>
      <c r="G10" s="27" t="s">
        <v>975</v>
      </c>
      <c r="H10" s="116" t="s">
        <v>1255</v>
      </c>
      <c r="I10" s="27" t="s">
        <v>1256</v>
      </c>
      <c r="J10" s="116"/>
      <c r="K10" s="116">
        <v>2022.0</v>
      </c>
      <c r="L10" s="27" t="s">
        <v>1240</v>
      </c>
    </row>
    <row r="11">
      <c r="A11" s="113" t="s">
        <v>1257</v>
      </c>
      <c r="B11" s="118" t="s">
        <v>1258</v>
      </c>
      <c r="C11" s="113" t="s">
        <v>1253</v>
      </c>
      <c r="D11" s="113">
        <v>29.0</v>
      </c>
      <c r="E11" s="113" t="s">
        <v>1254</v>
      </c>
      <c r="F11" s="117"/>
      <c r="G11" s="113" t="s">
        <v>975</v>
      </c>
      <c r="H11" s="117" t="s">
        <v>107</v>
      </c>
      <c r="I11" s="119">
        <v>392141.0</v>
      </c>
      <c r="J11" s="117" t="s">
        <v>1259</v>
      </c>
      <c r="K11" s="117">
        <v>2022.0</v>
      </c>
      <c r="L11" s="113" t="s">
        <v>1240</v>
      </c>
      <c r="M11" s="115"/>
      <c r="N11" s="115"/>
      <c r="O11" s="115"/>
      <c r="P11" s="115"/>
      <c r="Q11" s="115"/>
      <c r="R11" s="115"/>
      <c r="S11" s="115"/>
      <c r="T11" s="115"/>
      <c r="U11" s="115"/>
      <c r="V11" s="115"/>
      <c r="W11" s="115"/>
      <c r="X11" s="115"/>
      <c r="Y11" s="115"/>
      <c r="Z11" s="115"/>
    </row>
    <row r="12">
      <c r="A12" s="27" t="s">
        <v>1260</v>
      </c>
      <c r="B12" s="116" t="s">
        <v>1261</v>
      </c>
      <c r="C12" s="27" t="s">
        <v>1262</v>
      </c>
      <c r="D12" s="27">
        <v>4.0</v>
      </c>
      <c r="E12" s="27" t="s">
        <v>1263</v>
      </c>
      <c r="F12" s="116" t="s">
        <v>1264</v>
      </c>
      <c r="G12" s="27" t="s">
        <v>1227</v>
      </c>
      <c r="H12" s="116" t="s">
        <v>1265</v>
      </c>
      <c r="I12" s="120">
        <v>1500000.0</v>
      </c>
      <c r="J12" s="116" t="s">
        <v>1266</v>
      </c>
      <c r="K12" s="121">
        <v>2018.0</v>
      </c>
      <c r="L12" s="27" t="s">
        <v>1222</v>
      </c>
    </row>
    <row r="13">
      <c r="A13" s="27" t="s">
        <v>169</v>
      </c>
      <c r="B13" s="27" t="s">
        <v>1267</v>
      </c>
      <c r="C13" s="27" t="s">
        <v>1268</v>
      </c>
      <c r="D13" s="27">
        <v>2.0</v>
      </c>
      <c r="E13" s="27" t="s">
        <v>1269</v>
      </c>
      <c r="F13" s="27" t="s">
        <v>169</v>
      </c>
      <c r="G13" s="27" t="s">
        <v>975</v>
      </c>
      <c r="H13" s="27" t="s">
        <v>1255</v>
      </c>
      <c r="I13" s="27">
        <v>93750.0</v>
      </c>
      <c r="J13" s="27" t="s">
        <v>1270</v>
      </c>
      <c r="K13" s="27">
        <v>2021.0</v>
      </c>
      <c r="L13" s="27" t="s">
        <v>1251</v>
      </c>
    </row>
    <row r="14">
      <c r="A14" s="27" t="s">
        <v>169</v>
      </c>
      <c r="B14" s="27" t="s">
        <v>1271</v>
      </c>
      <c r="C14" s="27" t="s">
        <v>1272</v>
      </c>
      <c r="D14" s="27">
        <v>1.0</v>
      </c>
      <c r="E14" s="27" t="s">
        <v>1273</v>
      </c>
      <c r="F14" s="27" t="s">
        <v>169</v>
      </c>
      <c r="G14" s="27" t="s">
        <v>975</v>
      </c>
      <c r="H14" s="57" t="s">
        <v>1274</v>
      </c>
      <c r="I14" s="122" t="s">
        <v>1275</v>
      </c>
      <c r="J14" s="27"/>
      <c r="K14" s="27">
        <v>2022.0</v>
      </c>
      <c r="L14" s="27" t="s">
        <v>1240</v>
      </c>
    </row>
    <row r="15">
      <c r="A15" s="27" t="s">
        <v>169</v>
      </c>
      <c r="B15" s="27" t="s">
        <v>1276</v>
      </c>
      <c r="C15" s="27" t="s">
        <v>1277</v>
      </c>
      <c r="D15" s="27">
        <v>2.0</v>
      </c>
      <c r="E15" s="27" t="s">
        <v>1277</v>
      </c>
      <c r="F15" s="27" t="s">
        <v>169</v>
      </c>
      <c r="G15" s="27" t="s">
        <v>996</v>
      </c>
      <c r="H15" s="57" t="s">
        <v>1278</v>
      </c>
      <c r="I15" s="123" t="s">
        <v>1279</v>
      </c>
      <c r="J15" s="27"/>
      <c r="K15" s="27">
        <v>2022.0</v>
      </c>
      <c r="L15" s="27" t="s">
        <v>1240</v>
      </c>
    </row>
    <row r="16">
      <c r="A16" s="27" t="s">
        <v>169</v>
      </c>
      <c r="B16" s="27" t="s">
        <v>1280</v>
      </c>
      <c r="C16" s="27" t="s">
        <v>1268</v>
      </c>
      <c r="D16" s="27">
        <v>5.0</v>
      </c>
      <c r="E16" s="27" t="s">
        <v>1247</v>
      </c>
      <c r="F16" s="27" t="s">
        <v>1248</v>
      </c>
      <c r="G16" s="27" t="s">
        <v>1227</v>
      </c>
      <c r="H16" s="116" t="s">
        <v>1249</v>
      </c>
      <c r="I16" s="27">
        <v>400000.0</v>
      </c>
      <c r="J16" s="27" t="s">
        <v>1250</v>
      </c>
      <c r="K16" s="27">
        <v>2022.0</v>
      </c>
      <c r="L16" s="27" t="s">
        <v>1251</v>
      </c>
    </row>
    <row r="17">
      <c r="A17" s="27" t="s">
        <v>69</v>
      </c>
      <c r="B17" s="27" t="s">
        <v>1281</v>
      </c>
      <c r="C17" s="27" t="s">
        <v>1282</v>
      </c>
      <c r="D17" s="27">
        <v>3.0</v>
      </c>
      <c r="E17" s="27" t="s">
        <v>1283</v>
      </c>
      <c r="F17" s="27" t="s">
        <v>69</v>
      </c>
      <c r="G17" s="27" t="s">
        <v>996</v>
      </c>
      <c r="H17" s="27" t="s">
        <v>1255</v>
      </c>
      <c r="I17" s="27">
        <v>290000.0</v>
      </c>
      <c r="J17" s="27" t="s">
        <v>1284</v>
      </c>
      <c r="K17" s="27">
        <v>2022.0</v>
      </c>
      <c r="L17" s="27" t="s">
        <v>1222</v>
      </c>
    </row>
    <row r="18">
      <c r="A18" s="27" t="s">
        <v>69</v>
      </c>
      <c r="B18" s="27" t="s">
        <v>1285</v>
      </c>
      <c r="C18" s="27" t="s">
        <v>1286</v>
      </c>
      <c r="D18" s="27">
        <v>3.0</v>
      </c>
      <c r="E18" s="27" t="s">
        <v>1287</v>
      </c>
      <c r="F18" s="27" t="s">
        <v>169</v>
      </c>
      <c r="G18" s="27" t="s">
        <v>975</v>
      </c>
      <c r="H18" s="27" t="s">
        <v>1255</v>
      </c>
      <c r="I18" s="27">
        <v>10000.0</v>
      </c>
      <c r="J18" s="27" t="s">
        <v>1288</v>
      </c>
      <c r="K18" s="27">
        <v>2021.0</v>
      </c>
      <c r="L18" s="2" t="s">
        <v>1222</v>
      </c>
    </row>
    <row r="19">
      <c r="A19" s="113" t="s">
        <v>69</v>
      </c>
      <c r="B19" s="113" t="s">
        <v>1289</v>
      </c>
      <c r="C19" s="113" t="s">
        <v>1286</v>
      </c>
      <c r="D19" s="113">
        <v>10.0</v>
      </c>
      <c r="E19" s="113" t="s">
        <v>1283</v>
      </c>
      <c r="F19" s="113" t="s">
        <v>69</v>
      </c>
      <c r="G19" s="113" t="s">
        <v>975</v>
      </c>
      <c r="H19" s="113" t="s">
        <v>1255</v>
      </c>
      <c r="I19" s="113">
        <v>200000.0</v>
      </c>
      <c r="J19" s="113" t="s">
        <v>1290</v>
      </c>
      <c r="K19" s="113">
        <v>2021.0</v>
      </c>
      <c r="L19" s="118" t="s">
        <v>1222</v>
      </c>
      <c r="M19" s="115"/>
      <c r="N19" s="115"/>
      <c r="O19" s="115"/>
      <c r="P19" s="115"/>
      <c r="Q19" s="115"/>
      <c r="R19" s="115"/>
      <c r="S19" s="115"/>
      <c r="T19" s="115"/>
      <c r="U19" s="115"/>
      <c r="V19" s="115"/>
      <c r="W19" s="115"/>
      <c r="X19" s="115"/>
      <c r="Y19" s="115"/>
      <c r="Z19" s="115"/>
    </row>
    <row r="20">
      <c r="A20" s="27" t="s">
        <v>69</v>
      </c>
      <c r="B20" s="27" t="s">
        <v>1291</v>
      </c>
      <c r="C20" s="27" t="s">
        <v>1286</v>
      </c>
      <c r="D20" s="27">
        <v>2.0</v>
      </c>
      <c r="E20" s="27" t="s">
        <v>1292</v>
      </c>
      <c r="F20" s="27" t="s">
        <v>69</v>
      </c>
      <c r="G20" s="27" t="s">
        <v>975</v>
      </c>
      <c r="H20" s="27" t="s">
        <v>1255</v>
      </c>
      <c r="I20" s="27">
        <v>150000.0</v>
      </c>
      <c r="J20" s="27" t="s">
        <v>1290</v>
      </c>
      <c r="K20" s="27">
        <v>2021.0</v>
      </c>
      <c r="L20" s="27" t="s">
        <v>1251</v>
      </c>
    </row>
    <row r="21">
      <c r="A21" s="113" t="s">
        <v>69</v>
      </c>
      <c r="B21" s="124" t="s">
        <v>1293</v>
      </c>
      <c r="C21" s="113" t="s">
        <v>1294</v>
      </c>
      <c r="D21" s="113">
        <v>5.0</v>
      </c>
      <c r="E21" s="113" t="s">
        <v>1295</v>
      </c>
      <c r="F21" s="125"/>
      <c r="G21" s="113" t="s">
        <v>975</v>
      </c>
      <c r="H21" s="113" t="s">
        <v>1296</v>
      </c>
      <c r="I21" s="113">
        <v>350000.0</v>
      </c>
      <c r="J21" s="113" t="s">
        <v>1297</v>
      </c>
      <c r="K21" s="113">
        <v>2022.0</v>
      </c>
      <c r="L21" s="113" t="s">
        <v>1251</v>
      </c>
      <c r="M21" s="115"/>
      <c r="N21" s="115"/>
      <c r="O21" s="115"/>
      <c r="P21" s="115"/>
      <c r="Q21" s="115"/>
      <c r="R21" s="115"/>
      <c r="S21" s="115"/>
      <c r="T21" s="115"/>
      <c r="U21" s="115"/>
      <c r="V21" s="115"/>
      <c r="W21" s="115"/>
      <c r="X21" s="115"/>
      <c r="Y21" s="115"/>
      <c r="Z21" s="115"/>
    </row>
    <row r="22">
      <c r="A22" s="118" t="s">
        <v>99</v>
      </c>
      <c r="B22" s="118" t="s">
        <v>1298</v>
      </c>
      <c r="C22" s="118" t="s">
        <v>1299</v>
      </c>
      <c r="D22" s="118">
        <v>5.0</v>
      </c>
      <c r="E22" s="118" t="s">
        <v>1300</v>
      </c>
      <c r="F22" s="118" t="s">
        <v>1301</v>
      </c>
      <c r="G22" s="118" t="s">
        <v>22</v>
      </c>
      <c r="H22" s="118" t="s">
        <v>1228</v>
      </c>
      <c r="I22" s="118">
        <v>3000000.0</v>
      </c>
      <c r="J22" s="118" t="s">
        <v>1302</v>
      </c>
      <c r="K22" s="118">
        <v>2020.0</v>
      </c>
      <c r="L22" s="118" t="s">
        <v>1251</v>
      </c>
      <c r="M22" s="115"/>
      <c r="N22" s="115"/>
      <c r="O22" s="115"/>
      <c r="P22" s="115"/>
      <c r="Q22" s="115"/>
      <c r="R22" s="115"/>
      <c r="S22" s="115"/>
      <c r="T22" s="115"/>
      <c r="U22" s="115"/>
      <c r="V22" s="115"/>
      <c r="W22" s="115"/>
      <c r="X22" s="115"/>
      <c r="Y22" s="115"/>
      <c r="Z22" s="115"/>
    </row>
    <row r="23">
      <c r="A23" s="118" t="s">
        <v>99</v>
      </c>
      <c r="B23" s="118" t="s">
        <v>1303</v>
      </c>
      <c r="C23" s="118" t="s">
        <v>1299</v>
      </c>
      <c r="D23" s="118">
        <v>5.0</v>
      </c>
      <c r="E23" s="118" t="s">
        <v>1300</v>
      </c>
      <c r="F23" s="118" t="s">
        <v>1301</v>
      </c>
      <c r="G23" s="118" t="s">
        <v>22</v>
      </c>
      <c r="H23" s="118" t="s">
        <v>1304</v>
      </c>
      <c r="I23" s="118">
        <v>3000000.0</v>
      </c>
      <c r="J23" s="118" t="s">
        <v>1305</v>
      </c>
      <c r="K23" s="118">
        <v>2021.0</v>
      </c>
      <c r="L23" s="118" t="s">
        <v>1251</v>
      </c>
      <c r="M23" s="115"/>
      <c r="N23" s="115"/>
      <c r="O23" s="115"/>
      <c r="P23" s="115"/>
      <c r="Q23" s="115"/>
      <c r="R23" s="115"/>
      <c r="S23" s="115"/>
      <c r="T23" s="115"/>
      <c r="U23" s="115"/>
      <c r="V23" s="115"/>
      <c r="W23" s="115"/>
      <c r="X23" s="115"/>
      <c r="Y23" s="115"/>
      <c r="Z23" s="115"/>
    </row>
    <row r="24">
      <c r="A24" s="2" t="s">
        <v>1306</v>
      </c>
      <c r="B24" s="2" t="s">
        <v>1307</v>
      </c>
      <c r="C24" s="2" t="s">
        <v>1308</v>
      </c>
      <c r="D24" s="2">
        <v>5.0</v>
      </c>
      <c r="E24" s="2" t="s">
        <v>1309</v>
      </c>
      <c r="F24" s="2" t="s">
        <v>1310</v>
      </c>
      <c r="G24" s="2" t="s">
        <v>975</v>
      </c>
      <c r="H24" s="2" t="s">
        <v>1296</v>
      </c>
      <c r="J24" s="2" t="s">
        <v>1311</v>
      </c>
      <c r="K24" s="2">
        <v>2021.0</v>
      </c>
      <c r="L24" s="2" t="s">
        <v>1251</v>
      </c>
    </row>
    <row r="25">
      <c r="A25" s="118" t="s">
        <v>1306</v>
      </c>
      <c r="B25" s="118" t="s">
        <v>1312</v>
      </c>
      <c r="C25" s="118" t="s">
        <v>1313</v>
      </c>
      <c r="D25" s="118">
        <v>5.0</v>
      </c>
      <c r="E25" s="118" t="s">
        <v>1314</v>
      </c>
      <c r="F25" s="118" t="s">
        <v>1310</v>
      </c>
      <c r="G25" s="118" t="s">
        <v>975</v>
      </c>
      <c r="H25" s="118" t="s">
        <v>1296</v>
      </c>
      <c r="I25" s="118">
        <v>500000.0</v>
      </c>
      <c r="J25" s="118" t="s">
        <v>1311</v>
      </c>
      <c r="K25" s="118">
        <v>2021.0</v>
      </c>
      <c r="L25" s="118" t="s">
        <v>1222</v>
      </c>
      <c r="M25" s="115"/>
      <c r="N25" s="115"/>
      <c r="O25" s="115"/>
      <c r="P25" s="115"/>
      <c r="Q25" s="115"/>
      <c r="R25" s="115"/>
      <c r="S25" s="115"/>
      <c r="T25" s="115"/>
      <c r="U25" s="115"/>
      <c r="V25" s="115"/>
      <c r="W25" s="115"/>
      <c r="X25" s="115"/>
      <c r="Y25" s="115"/>
      <c r="Z25" s="115"/>
    </row>
    <row r="26">
      <c r="A26" s="2" t="s">
        <v>1306</v>
      </c>
      <c r="B26" s="2" t="s">
        <v>1315</v>
      </c>
      <c r="C26" s="2" t="s">
        <v>1316</v>
      </c>
      <c r="D26" s="2">
        <v>2.0</v>
      </c>
      <c r="E26" s="2" t="s">
        <v>1317</v>
      </c>
      <c r="F26" s="2" t="s">
        <v>1306</v>
      </c>
      <c r="G26" s="2" t="s">
        <v>996</v>
      </c>
      <c r="H26" s="2" t="s">
        <v>1255</v>
      </c>
      <c r="J26" s="2" t="s">
        <v>1318</v>
      </c>
      <c r="K26" s="2">
        <v>2022.0</v>
      </c>
      <c r="L26" s="2" t="s">
        <v>1222</v>
      </c>
    </row>
    <row r="27">
      <c r="A27" s="2" t="s">
        <v>1306</v>
      </c>
      <c r="B27" s="2" t="s">
        <v>1319</v>
      </c>
      <c r="C27" s="2" t="s">
        <v>1316</v>
      </c>
      <c r="D27" s="2">
        <v>2.0</v>
      </c>
      <c r="E27" s="2" t="s">
        <v>1317</v>
      </c>
      <c r="F27" s="2" t="s">
        <v>1306</v>
      </c>
      <c r="G27" s="2" t="s">
        <v>996</v>
      </c>
      <c r="H27" s="2" t="s">
        <v>1255</v>
      </c>
      <c r="J27" s="2" t="s">
        <v>1320</v>
      </c>
      <c r="K27" s="2">
        <v>2022.0</v>
      </c>
      <c r="L27" s="2" t="s">
        <v>1240</v>
      </c>
    </row>
    <row r="28">
      <c r="A28" s="118" t="s">
        <v>205</v>
      </c>
      <c r="B28" s="118" t="s">
        <v>1321</v>
      </c>
      <c r="C28" s="118" t="s">
        <v>1322</v>
      </c>
      <c r="D28" s="118">
        <v>5.0</v>
      </c>
      <c r="E28" s="118" t="s">
        <v>1323</v>
      </c>
      <c r="F28" s="118" t="s">
        <v>1324</v>
      </c>
      <c r="G28" s="118" t="s">
        <v>975</v>
      </c>
      <c r="H28" s="118" t="s">
        <v>1296</v>
      </c>
      <c r="I28" s="118">
        <v>60000.0</v>
      </c>
      <c r="J28" s="118" t="s">
        <v>1325</v>
      </c>
      <c r="K28" s="118">
        <v>2022.0</v>
      </c>
      <c r="L28" s="118" t="s">
        <v>1240</v>
      </c>
      <c r="M28" s="115"/>
      <c r="N28" s="115"/>
      <c r="O28" s="115"/>
      <c r="P28" s="115"/>
      <c r="Q28" s="115"/>
      <c r="R28" s="115"/>
      <c r="S28" s="115"/>
      <c r="T28" s="115"/>
      <c r="U28" s="115"/>
      <c r="V28" s="115"/>
      <c r="W28" s="115"/>
      <c r="X28" s="115"/>
      <c r="Y28" s="115"/>
      <c r="Z28" s="115"/>
    </row>
    <row r="29">
      <c r="A29" s="2" t="s">
        <v>205</v>
      </c>
      <c r="B29" s="2" t="s">
        <v>1326</v>
      </c>
      <c r="C29" s="2" t="s">
        <v>1327</v>
      </c>
      <c r="E29" s="2" t="s">
        <v>1328</v>
      </c>
      <c r="G29" s="2" t="s">
        <v>975</v>
      </c>
      <c r="H29" s="2" t="s">
        <v>1296</v>
      </c>
      <c r="J29" s="126" t="s">
        <v>1329</v>
      </c>
      <c r="L29" s="2" t="s">
        <v>1251</v>
      </c>
    </row>
    <row r="30">
      <c r="A30" s="2" t="s">
        <v>205</v>
      </c>
      <c r="B30" s="2" t="s">
        <v>1330</v>
      </c>
      <c r="C30" s="2" t="s">
        <v>1331</v>
      </c>
      <c r="D30" s="2">
        <v>2.0</v>
      </c>
      <c r="E30" s="2" t="s">
        <v>1332</v>
      </c>
      <c r="F30" s="2" t="s">
        <v>205</v>
      </c>
      <c r="G30" s="2" t="s">
        <v>975</v>
      </c>
      <c r="H30" s="2" t="s">
        <v>1255</v>
      </c>
      <c r="J30" s="2" t="s">
        <v>1333</v>
      </c>
      <c r="L30" s="2" t="s">
        <v>1251</v>
      </c>
    </row>
    <row r="31">
      <c r="A31" s="118" t="s">
        <v>1334</v>
      </c>
      <c r="B31" s="118" t="s">
        <v>1335</v>
      </c>
      <c r="C31" s="118" t="s">
        <v>1336</v>
      </c>
      <c r="D31" s="118">
        <v>25.0</v>
      </c>
      <c r="E31" s="118" t="s">
        <v>1337</v>
      </c>
      <c r="F31" s="118" t="s">
        <v>1338</v>
      </c>
      <c r="G31" s="118" t="s">
        <v>996</v>
      </c>
      <c r="H31" s="118" t="s">
        <v>1304</v>
      </c>
      <c r="I31" s="118">
        <v>1500000.0</v>
      </c>
      <c r="J31" s="118" t="s">
        <v>1339</v>
      </c>
      <c r="K31" s="118">
        <v>2022.0</v>
      </c>
      <c r="L31" s="118" t="s">
        <v>1240</v>
      </c>
      <c r="M31" s="115"/>
      <c r="N31" s="115"/>
      <c r="O31" s="115"/>
      <c r="P31" s="115"/>
      <c r="Q31" s="115"/>
      <c r="R31" s="115"/>
      <c r="S31" s="115"/>
      <c r="T31" s="115"/>
      <c r="U31" s="115"/>
      <c r="V31" s="115"/>
      <c r="W31" s="115"/>
      <c r="X31" s="115"/>
      <c r="Y31" s="115"/>
      <c r="Z31" s="115"/>
    </row>
    <row r="32">
      <c r="A32" s="2" t="s">
        <v>205</v>
      </c>
      <c r="B32" s="2" t="s">
        <v>1340</v>
      </c>
      <c r="C32" s="2" t="s">
        <v>1322</v>
      </c>
      <c r="D32" s="2">
        <v>3.0</v>
      </c>
      <c r="E32" s="2" t="s">
        <v>1341</v>
      </c>
      <c r="F32" s="2" t="s">
        <v>205</v>
      </c>
      <c r="G32" s="2" t="s">
        <v>996</v>
      </c>
      <c r="H32" s="2" t="s">
        <v>1255</v>
      </c>
      <c r="I32" s="2">
        <v>15000.0</v>
      </c>
      <c r="J32" s="2" t="s">
        <v>1342</v>
      </c>
      <c r="K32" s="2">
        <v>2022.0</v>
      </c>
      <c r="L32" s="2" t="s">
        <v>1222</v>
      </c>
    </row>
    <row r="33">
      <c r="A33" s="118" t="s">
        <v>205</v>
      </c>
      <c r="B33" s="118" t="s">
        <v>1343</v>
      </c>
      <c r="C33" s="118" t="s">
        <v>1322</v>
      </c>
      <c r="D33" s="118">
        <v>4.0</v>
      </c>
      <c r="E33" s="118" t="s">
        <v>1341</v>
      </c>
      <c r="F33" s="118" t="s">
        <v>205</v>
      </c>
      <c r="G33" s="118" t="s">
        <v>996</v>
      </c>
      <c r="H33" s="118" t="s">
        <v>1255</v>
      </c>
      <c r="I33" s="118">
        <v>400000.0</v>
      </c>
      <c r="J33" s="118" t="s">
        <v>1342</v>
      </c>
      <c r="K33" s="118">
        <v>2021.0</v>
      </c>
      <c r="L33" s="118" t="s">
        <v>1222</v>
      </c>
      <c r="M33" s="115"/>
      <c r="N33" s="115"/>
      <c r="O33" s="115"/>
      <c r="P33" s="115"/>
      <c r="Q33" s="115"/>
      <c r="R33" s="115"/>
      <c r="S33" s="115"/>
      <c r="T33" s="115"/>
      <c r="U33" s="115"/>
      <c r="V33" s="115"/>
      <c r="W33" s="115"/>
      <c r="X33" s="115"/>
      <c r="Y33" s="115"/>
      <c r="Z33" s="115"/>
    </row>
    <row r="34">
      <c r="A34" s="2" t="s">
        <v>205</v>
      </c>
      <c r="B34" s="2" t="s">
        <v>1344</v>
      </c>
      <c r="C34" s="2" t="s">
        <v>1322</v>
      </c>
      <c r="D34" s="2">
        <v>4.0</v>
      </c>
      <c r="E34" s="2" t="s">
        <v>1341</v>
      </c>
      <c r="F34" s="2" t="s">
        <v>205</v>
      </c>
      <c r="G34" s="2" t="s">
        <v>996</v>
      </c>
      <c r="H34" s="2" t="s">
        <v>1255</v>
      </c>
      <c r="I34" s="2">
        <v>150000.0</v>
      </c>
      <c r="J34" s="2" t="s">
        <v>1342</v>
      </c>
      <c r="K34" s="2">
        <v>2021.0</v>
      </c>
      <c r="L34" s="2" t="s">
        <v>1222</v>
      </c>
    </row>
    <row r="35">
      <c r="A35" s="118" t="s">
        <v>205</v>
      </c>
      <c r="B35" s="118" t="s">
        <v>1345</v>
      </c>
      <c r="C35" s="118" t="s">
        <v>1322</v>
      </c>
      <c r="D35" s="118">
        <v>4.0</v>
      </c>
      <c r="E35" s="118" t="s">
        <v>1341</v>
      </c>
      <c r="F35" s="118" t="s">
        <v>205</v>
      </c>
      <c r="G35" s="118" t="s">
        <v>996</v>
      </c>
      <c r="H35" s="118" t="s">
        <v>1255</v>
      </c>
      <c r="I35" s="118">
        <v>200000.0</v>
      </c>
      <c r="J35" s="118" t="s">
        <v>1342</v>
      </c>
      <c r="K35" s="118">
        <v>2020.0</v>
      </c>
      <c r="L35" s="118" t="s">
        <v>1222</v>
      </c>
      <c r="M35" s="115"/>
      <c r="N35" s="115"/>
      <c r="O35" s="115"/>
      <c r="P35" s="115"/>
      <c r="Q35" s="115"/>
      <c r="R35" s="115"/>
      <c r="S35" s="115"/>
      <c r="T35" s="115"/>
      <c r="U35" s="115"/>
      <c r="V35" s="115"/>
      <c r="W35" s="115"/>
      <c r="X35" s="115"/>
      <c r="Y35" s="115"/>
      <c r="Z35" s="115"/>
    </row>
    <row r="36">
      <c r="A36" s="2" t="s">
        <v>205</v>
      </c>
      <c r="B36" s="2" t="s">
        <v>1346</v>
      </c>
      <c r="C36" s="2" t="s">
        <v>1322</v>
      </c>
      <c r="D36" s="2">
        <v>2.0</v>
      </c>
      <c r="E36" s="2" t="s">
        <v>1341</v>
      </c>
      <c r="F36" s="2" t="s">
        <v>205</v>
      </c>
      <c r="G36" s="2" t="s">
        <v>996</v>
      </c>
      <c r="H36" s="2" t="s">
        <v>1255</v>
      </c>
      <c r="I36" s="2">
        <v>15000.0</v>
      </c>
      <c r="J36" s="2" t="s">
        <v>1342</v>
      </c>
      <c r="K36" s="2">
        <v>2021.0</v>
      </c>
      <c r="L36" s="2" t="s">
        <v>1222</v>
      </c>
    </row>
    <row r="37">
      <c r="A37" s="2" t="s">
        <v>205</v>
      </c>
      <c r="B37" s="2" t="s">
        <v>1347</v>
      </c>
      <c r="C37" s="2" t="s">
        <v>1322</v>
      </c>
      <c r="D37" s="2">
        <v>2.0</v>
      </c>
      <c r="E37" s="2" t="s">
        <v>1341</v>
      </c>
      <c r="F37" s="2" t="s">
        <v>205</v>
      </c>
      <c r="G37" s="2" t="s">
        <v>996</v>
      </c>
      <c r="H37" s="2" t="s">
        <v>1255</v>
      </c>
      <c r="I37" s="2">
        <v>80000.0</v>
      </c>
      <c r="J37" s="2" t="s">
        <v>1342</v>
      </c>
      <c r="K37" s="2">
        <v>2021.0</v>
      </c>
      <c r="L37" s="2" t="s">
        <v>1222</v>
      </c>
    </row>
    <row r="38">
      <c r="A38" s="118" t="s">
        <v>205</v>
      </c>
      <c r="B38" s="118" t="s">
        <v>1348</v>
      </c>
      <c r="C38" s="118" t="s">
        <v>1322</v>
      </c>
      <c r="D38" s="118">
        <v>2.0</v>
      </c>
      <c r="E38" s="118" t="s">
        <v>1323</v>
      </c>
      <c r="F38" s="118" t="s">
        <v>1324</v>
      </c>
      <c r="G38" s="118" t="s">
        <v>996</v>
      </c>
      <c r="H38" s="118" t="s">
        <v>1296</v>
      </c>
      <c r="I38" s="118">
        <v>6300.0</v>
      </c>
      <c r="J38" s="118" t="s">
        <v>1349</v>
      </c>
      <c r="K38" s="118">
        <v>2021.0</v>
      </c>
      <c r="L38" s="118" t="s">
        <v>1222</v>
      </c>
      <c r="M38" s="115"/>
      <c r="N38" s="115"/>
      <c r="O38" s="115"/>
      <c r="P38" s="115"/>
      <c r="Q38" s="115"/>
      <c r="R38" s="115"/>
      <c r="S38" s="115"/>
      <c r="T38" s="115"/>
      <c r="U38" s="115"/>
      <c r="V38" s="115"/>
      <c r="W38" s="115"/>
      <c r="X38" s="115"/>
      <c r="Y38" s="115"/>
      <c r="Z38" s="115"/>
    </row>
    <row r="39">
      <c r="A39" s="2" t="s">
        <v>1334</v>
      </c>
      <c r="B39" s="2" t="s">
        <v>1350</v>
      </c>
      <c r="C39" s="2" t="s">
        <v>1336</v>
      </c>
      <c r="D39" s="2">
        <v>2.0</v>
      </c>
      <c r="E39" s="2" t="s">
        <v>1351</v>
      </c>
      <c r="F39" s="2" t="s">
        <v>1334</v>
      </c>
      <c r="G39" s="2" t="s">
        <v>996</v>
      </c>
      <c r="H39" s="2" t="s">
        <v>1255</v>
      </c>
      <c r="I39" s="2">
        <v>320000.0</v>
      </c>
      <c r="J39" s="2" t="s">
        <v>1352</v>
      </c>
      <c r="K39" s="2">
        <v>2022.0</v>
      </c>
      <c r="L39" s="2" t="s">
        <v>1222</v>
      </c>
    </row>
    <row r="40">
      <c r="A40" s="118" t="s">
        <v>205</v>
      </c>
      <c r="B40" s="118" t="s">
        <v>1353</v>
      </c>
      <c r="C40" s="118" t="s">
        <v>1354</v>
      </c>
      <c r="D40" s="118">
        <v>5.0</v>
      </c>
      <c r="E40" s="118" t="s">
        <v>1341</v>
      </c>
      <c r="F40" s="118" t="s">
        <v>1310</v>
      </c>
      <c r="G40" s="118" t="s">
        <v>975</v>
      </c>
      <c r="H40" s="118" t="s">
        <v>1296</v>
      </c>
      <c r="I40" s="118">
        <v>500000.0</v>
      </c>
      <c r="J40" s="118" t="s">
        <v>1355</v>
      </c>
      <c r="K40" s="118">
        <v>2021.0</v>
      </c>
      <c r="L40" s="118" t="s">
        <v>1222</v>
      </c>
      <c r="M40" s="115"/>
      <c r="N40" s="115"/>
      <c r="O40" s="115"/>
      <c r="P40" s="115"/>
      <c r="Q40" s="115"/>
      <c r="R40" s="115"/>
      <c r="S40" s="115"/>
      <c r="T40" s="115"/>
      <c r="U40" s="115"/>
      <c r="V40" s="115"/>
      <c r="W40" s="115"/>
      <c r="X40" s="115"/>
      <c r="Y40" s="115"/>
      <c r="Z40" s="115"/>
    </row>
    <row r="41">
      <c r="A41" s="2" t="s">
        <v>205</v>
      </c>
      <c r="B41" s="2" t="s">
        <v>1356</v>
      </c>
      <c r="C41" s="2" t="s">
        <v>1322</v>
      </c>
      <c r="D41" s="2">
        <v>2.0</v>
      </c>
      <c r="E41" s="2" t="s">
        <v>1341</v>
      </c>
      <c r="F41" s="2" t="s">
        <v>205</v>
      </c>
      <c r="G41" s="2" t="s">
        <v>996</v>
      </c>
      <c r="H41" s="2" t="s">
        <v>1255</v>
      </c>
      <c r="I41" s="2">
        <v>240000.0</v>
      </c>
      <c r="J41" s="2" t="s">
        <v>1349</v>
      </c>
      <c r="K41" s="2">
        <v>2022.0</v>
      </c>
      <c r="L41" s="2" t="s">
        <v>1240</v>
      </c>
    </row>
    <row r="42">
      <c r="A42" s="118" t="s">
        <v>205</v>
      </c>
      <c r="B42" s="118" t="s">
        <v>1357</v>
      </c>
      <c r="C42" s="118" t="s">
        <v>1354</v>
      </c>
      <c r="D42" s="118">
        <v>5.0</v>
      </c>
      <c r="E42" s="118" t="s">
        <v>1358</v>
      </c>
      <c r="F42" s="118" t="s">
        <v>205</v>
      </c>
      <c r="G42" s="118" t="s">
        <v>975</v>
      </c>
      <c r="H42" s="118" t="s">
        <v>1255</v>
      </c>
      <c r="I42" s="118">
        <v>350000.0</v>
      </c>
      <c r="J42" s="118" t="s">
        <v>1342</v>
      </c>
      <c r="K42" s="118">
        <v>2020.0</v>
      </c>
      <c r="L42" s="118" t="s">
        <v>1222</v>
      </c>
      <c r="M42" s="115"/>
      <c r="N42" s="115"/>
      <c r="O42" s="115"/>
      <c r="P42" s="115"/>
      <c r="Q42" s="115"/>
      <c r="R42" s="115"/>
      <c r="S42" s="115"/>
      <c r="T42" s="115"/>
      <c r="U42" s="115"/>
      <c r="V42" s="115"/>
      <c r="W42" s="115"/>
      <c r="X42" s="115"/>
      <c r="Y42" s="115"/>
      <c r="Z42" s="115"/>
    </row>
    <row r="43">
      <c r="A43" s="2" t="s">
        <v>205</v>
      </c>
      <c r="B43" s="2" t="s">
        <v>1359</v>
      </c>
      <c r="C43" s="2" t="s">
        <v>1354</v>
      </c>
      <c r="D43" s="2">
        <v>5.0</v>
      </c>
      <c r="E43" s="2" t="s">
        <v>1360</v>
      </c>
      <c r="F43" s="2" t="s">
        <v>205</v>
      </c>
      <c r="G43" s="2" t="s">
        <v>975</v>
      </c>
      <c r="H43" s="2" t="s">
        <v>1255</v>
      </c>
      <c r="I43" s="2">
        <v>15000.0</v>
      </c>
      <c r="J43" s="2" t="s">
        <v>1342</v>
      </c>
      <c r="K43" s="2">
        <v>2021.0</v>
      </c>
      <c r="L43" s="2" t="s">
        <v>1222</v>
      </c>
    </row>
    <row r="44">
      <c r="A44" s="118" t="s">
        <v>205</v>
      </c>
      <c r="B44" s="118" t="s">
        <v>1361</v>
      </c>
      <c r="C44" s="118" t="s">
        <v>1354</v>
      </c>
      <c r="D44" s="118">
        <v>4.0</v>
      </c>
      <c r="E44" s="118" t="s">
        <v>1362</v>
      </c>
      <c r="F44" s="118" t="s">
        <v>205</v>
      </c>
      <c r="G44" s="118" t="s">
        <v>996</v>
      </c>
      <c r="H44" s="118" t="s">
        <v>1255</v>
      </c>
      <c r="I44" s="118">
        <v>500000.0</v>
      </c>
      <c r="J44" s="118" t="s">
        <v>1342</v>
      </c>
      <c r="K44" s="118">
        <v>2021.0</v>
      </c>
      <c r="L44" s="118" t="s">
        <v>1222</v>
      </c>
      <c r="M44" s="115"/>
      <c r="N44" s="115"/>
      <c r="O44" s="115"/>
      <c r="P44" s="115"/>
      <c r="Q44" s="115"/>
      <c r="R44" s="115"/>
      <c r="S44" s="115"/>
      <c r="T44" s="115"/>
      <c r="U44" s="115"/>
      <c r="V44" s="115"/>
      <c r="W44" s="115"/>
      <c r="X44" s="115"/>
      <c r="Y44" s="115"/>
      <c r="Z44" s="115"/>
    </row>
    <row r="45">
      <c r="A45" s="118" t="s">
        <v>205</v>
      </c>
      <c r="B45" s="118" t="s">
        <v>1363</v>
      </c>
      <c r="C45" s="127" t="s">
        <v>1322</v>
      </c>
      <c r="D45" s="118">
        <v>10.0</v>
      </c>
      <c r="E45" s="128" t="s">
        <v>1364</v>
      </c>
      <c r="F45" s="118" t="s">
        <v>1365</v>
      </c>
      <c r="G45" s="118" t="s">
        <v>996</v>
      </c>
      <c r="H45" s="118" t="s">
        <v>1255</v>
      </c>
      <c r="I45" s="129">
        <v>240658.0</v>
      </c>
      <c r="J45" s="118" t="s">
        <v>1366</v>
      </c>
      <c r="K45" s="118">
        <v>2022.0</v>
      </c>
      <c r="L45" s="118" t="s">
        <v>1222</v>
      </c>
      <c r="M45" s="115"/>
      <c r="N45" s="115"/>
      <c r="O45" s="115"/>
      <c r="P45" s="115"/>
      <c r="Q45" s="115"/>
      <c r="R45" s="115"/>
      <c r="S45" s="115"/>
      <c r="T45" s="115"/>
      <c r="U45" s="115"/>
      <c r="V45" s="115"/>
      <c r="W45" s="115"/>
      <c r="X45" s="115"/>
      <c r="Y45" s="115"/>
      <c r="Z45" s="115"/>
    </row>
    <row r="46">
      <c r="A46" s="118" t="s">
        <v>153</v>
      </c>
      <c r="B46" s="118" t="s">
        <v>1367</v>
      </c>
      <c r="C46" s="118" t="s">
        <v>1368</v>
      </c>
      <c r="D46" s="118">
        <v>8.0</v>
      </c>
      <c r="E46" s="130" t="s">
        <v>1369</v>
      </c>
      <c r="F46" s="118" t="s">
        <v>1370</v>
      </c>
      <c r="G46" s="118" t="s">
        <v>975</v>
      </c>
      <c r="H46" s="118" t="s">
        <v>1296</v>
      </c>
      <c r="I46" s="118">
        <v>10000.0</v>
      </c>
      <c r="J46" s="118" t="s">
        <v>1371</v>
      </c>
      <c r="K46" s="118">
        <v>2022.0</v>
      </c>
      <c r="L46" s="118" t="s">
        <v>1251</v>
      </c>
      <c r="M46" s="115"/>
      <c r="N46" s="115"/>
      <c r="O46" s="115"/>
      <c r="P46" s="115"/>
      <c r="Q46" s="115"/>
      <c r="R46" s="115"/>
      <c r="S46" s="115"/>
      <c r="T46" s="115"/>
      <c r="U46" s="115"/>
      <c r="V46" s="115"/>
      <c r="W46" s="115"/>
      <c r="X46" s="115"/>
      <c r="Y46" s="115"/>
      <c r="Z46" s="115"/>
    </row>
    <row r="47">
      <c r="A47" s="2" t="s">
        <v>202</v>
      </c>
      <c r="B47" s="131" t="s">
        <v>1372</v>
      </c>
      <c r="C47" s="2" t="s">
        <v>1373</v>
      </c>
      <c r="D47" s="2">
        <v>2.0</v>
      </c>
      <c r="E47" s="2" t="s">
        <v>1374</v>
      </c>
      <c r="F47" s="2" t="s">
        <v>202</v>
      </c>
      <c r="G47" s="2" t="s">
        <v>21</v>
      </c>
      <c r="H47" s="2" t="s">
        <v>1255</v>
      </c>
      <c r="I47" s="2" t="s">
        <v>1375</v>
      </c>
      <c r="J47" s="2" t="s">
        <v>1376</v>
      </c>
      <c r="K47" s="2">
        <v>2021.0</v>
      </c>
      <c r="L47" s="2" t="s">
        <v>1222</v>
      </c>
    </row>
    <row r="48">
      <c r="A48" s="2" t="s">
        <v>107</v>
      </c>
      <c r="B48" s="2" t="s">
        <v>1377</v>
      </c>
      <c r="C48" s="2" t="s">
        <v>1378</v>
      </c>
      <c r="D48" s="2">
        <v>1.0</v>
      </c>
      <c r="E48" s="2" t="s">
        <v>1379</v>
      </c>
      <c r="F48" s="2" t="s">
        <v>1379</v>
      </c>
      <c r="G48" s="2" t="s">
        <v>975</v>
      </c>
      <c r="H48" s="2" t="s">
        <v>1255</v>
      </c>
      <c r="I48" s="2">
        <v>35000.0</v>
      </c>
      <c r="J48" s="126" t="s">
        <v>1380</v>
      </c>
      <c r="K48" s="2">
        <v>2021.0</v>
      </c>
      <c r="L48" s="2" t="s">
        <v>1251</v>
      </c>
    </row>
    <row r="49">
      <c r="A49" s="2" t="s">
        <v>149</v>
      </c>
      <c r="B49" s="2" t="s">
        <v>1381</v>
      </c>
      <c r="C49" s="2" t="s">
        <v>1382</v>
      </c>
      <c r="D49" s="2">
        <v>2.0</v>
      </c>
      <c r="E49" s="2" t="s">
        <v>1383</v>
      </c>
      <c r="F49" s="2" t="s">
        <v>149</v>
      </c>
      <c r="G49" s="2" t="s">
        <v>1384</v>
      </c>
      <c r="H49" s="2" t="s">
        <v>1255</v>
      </c>
      <c r="I49" s="2">
        <v>500000.0</v>
      </c>
      <c r="J49" s="2" t="s">
        <v>1385</v>
      </c>
      <c r="K49" s="2">
        <v>2022.0</v>
      </c>
      <c r="L49" s="2" t="s">
        <v>1240</v>
      </c>
    </row>
    <row r="50">
      <c r="A50" s="2" t="s">
        <v>149</v>
      </c>
      <c r="B50" s="132" t="s">
        <v>1386</v>
      </c>
      <c r="C50" s="2" t="s">
        <v>1382</v>
      </c>
      <c r="E50" s="2" t="s">
        <v>1383</v>
      </c>
      <c r="F50" s="2" t="s">
        <v>149</v>
      </c>
      <c r="G50" s="2" t="s">
        <v>1384</v>
      </c>
      <c r="H50" s="2" t="s">
        <v>1255</v>
      </c>
      <c r="I50" s="2">
        <v>500000.0</v>
      </c>
      <c r="J50" s="2" t="s">
        <v>1385</v>
      </c>
      <c r="K50" s="2">
        <v>2022.0</v>
      </c>
      <c r="L50" s="2" t="s">
        <v>1387</v>
      </c>
    </row>
    <row r="51">
      <c r="A51" s="118" t="s">
        <v>1188</v>
      </c>
      <c r="B51" s="118" t="s">
        <v>1388</v>
      </c>
      <c r="C51" s="118" t="s">
        <v>1389</v>
      </c>
      <c r="D51" s="118">
        <v>3.0</v>
      </c>
      <c r="E51" s="118" t="s">
        <v>1390</v>
      </c>
      <c r="F51" s="118" t="s">
        <v>1391</v>
      </c>
      <c r="G51" s="118" t="s">
        <v>21</v>
      </c>
      <c r="H51" s="118" t="s">
        <v>1296</v>
      </c>
      <c r="I51" s="133">
        <v>1500.0</v>
      </c>
      <c r="J51" s="118" t="s">
        <v>1392</v>
      </c>
      <c r="K51" s="118">
        <v>2022.0</v>
      </c>
      <c r="L51" s="118" t="s">
        <v>1393</v>
      </c>
      <c r="M51" s="115"/>
      <c r="N51" s="115"/>
      <c r="O51" s="115"/>
      <c r="P51" s="115"/>
      <c r="Q51" s="115"/>
      <c r="R51" s="115"/>
      <c r="S51" s="115"/>
      <c r="T51" s="115"/>
      <c r="U51" s="115"/>
      <c r="V51" s="115"/>
      <c r="W51" s="115"/>
      <c r="X51" s="115"/>
      <c r="Y51" s="115"/>
      <c r="Z51" s="115"/>
    </row>
    <row r="52">
      <c r="A52" s="118" t="s">
        <v>1394</v>
      </c>
      <c r="B52" s="118" t="s">
        <v>1395</v>
      </c>
      <c r="C52" s="118" t="s">
        <v>1396</v>
      </c>
      <c r="D52" s="118">
        <v>40.0</v>
      </c>
      <c r="E52" s="118" t="s">
        <v>1397</v>
      </c>
      <c r="F52" s="118" t="s">
        <v>1398</v>
      </c>
      <c r="G52" s="118" t="s">
        <v>22</v>
      </c>
      <c r="H52" s="118" t="s">
        <v>1399</v>
      </c>
      <c r="I52" s="118" t="s">
        <v>1400</v>
      </c>
      <c r="J52" s="118" t="s">
        <v>1401</v>
      </c>
      <c r="K52" s="118">
        <v>2022.0</v>
      </c>
      <c r="L52" s="118" t="s">
        <v>1402</v>
      </c>
      <c r="M52" s="115"/>
      <c r="N52" s="115"/>
      <c r="O52" s="115"/>
      <c r="P52" s="115"/>
      <c r="Q52" s="115"/>
      <c r="R52" s="115"/>
      <c r="S52" s="115"/>
      <c r="T52" s="115"/>
      <c r="U52" s="115"/>
      <c r="V52" s="115"/>
      <c r="W52" s="115"/>
      <c r="X52" s="115"/>
      <c r="Y52" s="115"/>
      <c r="Z52" s="115"/>
    </row>
  </sheetData>
  <hyperlinks>
    <hyperlink r:id="rId4" ref="B5"/>
  </hyperlinks>
  <drawing r:id="rId5"/>
  <legacy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5" max="5" width="27.75"/>
  </cols>
  <sheetData>
    <row r="1">
      <c r="A1" s="134" t="s">
        <v>270</v>
      </c>
      <c r="B1" s="134"/>
      <c r="C1" s="134" t="s">
        <v>1403</v>
      </c>
      <c r="D1" s="134" t="s">
        <v>1404</v>
      </c>
      <c r="E1" s="135" t="s">
        <v>1405</v>
      </c>
      <c r="F1" s="136" t="s">
        <v>1406</v>
      </c>
      <c r="G1" s="137" t="s">
        <v>1407</v>
      </c>
      <c r="H1" s="134" t="s">
        <v>1408</v>
      </c>
      <c r="I1" s="134" t="s">
        <v>1409</v>
      </c>
      <c r="J1" s="134" t="s">
        <v>1410</v>
      </c>
      <c r="K1" s="18" t="s">
        <v>1411</v>
      </c>
    </row>
    <row r="2">
      <c r="A2" s="8" t="s">
        <v>18</v>
      </c>
      <c r="B2" s="138" t="s">
        <v>276</v>
      </c>
      <c r="C2" s="8" t="s">
        <v>974</v>
      </c>
      <c r="D2" s="8" t="s">
        <v>1412</v>
      </c>
      <c r="E2" s="8" t="s">
        <v>1413</v>
      </c>
      <c r="F2" s="8" t="s">
        <v>1414</v>
      </c>
      <c r="G2" s="8" t="s">
        <v>1415</v>
      </c>
      <c r="H2" s="139" t="s">
        <v>286</v>
      </c>
      <c r="I2" s="8" t="s">
        <v>1416</v>
      </c>
      <c r="J2" s="140">
        <v>44859.0</v>
      </c>
      <c r="K2" s="140">
        <v>44866.0</v>
      </c>
    </row>
    <row r="3">
      <c r="A3" s="8" t="s">
        <v>28</v>
      </c>
      <c r="B3" s="138" t="s">
        <v>313</v>
      </c>
      <c r="C3" s="8" t="s">
        <v>974</v>
      </c>
      <c r="D3" s="8" t="s">
        <v>975</v>
      </c>
      <c r="E3" s="141"/>
      <c r="F3" s="141"/>
      <c r="G3" s="8" t="s">
        <v>1417</v>
      </c>
      <c r="H3" s="141"/>
      <c r="I3" s="141"/>
      <c r="J3" s="141"/>
      <c r="K3" s="140">
        <v>44866.0</v>
      </c>
    </row>
    <row r="4">
      <c r="A4" s="126" t="s">
        <v>33</v>
      </c>
      <c r="B4" s="138" t="s">
        <v>316</v>
      </c>
      <c r="C4" s="8"/>
      <c r="D4" s="8" t="s">
        <v>996</v>
      </c>
      <c r="E4" s="8" t="s">
        <v>1418</v>
      </c>
      <c r="F4" s="8" t="s">
        <v>1414</v>
      </c>
      <c r="G4" s="8" t="s">
        <v>1415</v>
      </c>
      <c r="H4" s="139" t="s">
        <v>32</v>
      </c>
      <c r="I4" s="141"/>
      <c r="J4" s="140">
        <v>44859.0</v>
      </c>
      <c r="K4" s="140">
        <v>44866.0</v>
      </c>
    </row>
    <row r="5">
      <c r="A5" s="8" t="s">
        <v>255</v>
      </c>
      <c r="B5" s="138" t="s">
        <v>322</v>
      </c>
      <c r="C5" s="8"/>
      <c r="D5" s="8" t="s">
        <v>996</v>
      </c>
      <c r="E5" s="8" t="s">
        <v>1419</v>
      </c>
      <c r="F5" s="8" t="s">
        <v>1420</v>
      </c>
      <c r="G5" s="8" t="s">
        <v>1415</v>
      </c>
      <c r="H5" s="139" t="s">
        <v>321</v>
      </c>
      <c r="I5" s="141"/>
      <c r="J5" s="141"/>
      <c r="K5" s="140">
        <v>44866.0</v>
      </c>
    </row>
    <row r="6">
      <c r="A6" s="8" t="s">
        <v>1421</v>
      </c>
      <c r="B6" s="138" t="s">
        <v>326</v>
      </c>
      <c r="C6" s="8" t="s">
        <v>974</v>
      </c>
      <c r="D6" s="8" t="s">
        <v>975</v>
      </c>
      <c r="E6" s="141"/>
      <c r="F6" s="141"/>
      <c r="G6" s="8" t="s">
        <v>1415</v>
      </c>
      <c r="H6" s="139" t="s">
        <v>1422</v>
      </c>
      <c r="I6" s="141"/>
      <c r="J6" s="141"/>
      <c r="K6" s="140">
        <v>44866.0</v>
      </c>
    </row>
    <row r="7">
      <c r="A7" s="8" t="s">
        <v>257</v>
      </c>
      <c r="B7" s="138" t="s">
        <v>333</v>
      </c>
      <c r="C7" s="8"/>
      <c r="D7" s="8" t="s">
        <v>996</v>
      </c>
      <c r="E7" s="8" t="s">
        <v>1423</v>
      </c>
      <c r="F7" s="8" t="s">
        <v>1414</v>
      </c>
      <c r="G7" s="8" t="s">
        <v>1415</v>
      </c>
      <c r="H7" s="139" t="s">
        <v>339</v>
      </c>
      <c r="I7" s="141"/>
      <c r="J7" s="141"/>
      <c r="K7" s="140">
        <v>44866.0</v>
      </c>
    </row>
    <row r="8">
      <c r="A8" s="8" t="s">
        <v>37</v>
      </c>
      <c r="B8" s="138" t="s">
        <v>346</v>
      </c>
      <c r="C8" s="8"/>
      <c r="D8" s="8" t="s">
        <v>996</v>
      </c>
      <c r="E8" s="8" t="s">
        <v>1424</v>
      </c>
      <c r="F8" s="8" t="s">
        <v>1425</v>
      </c>
      <c r="G8" s="8" t="s">
        <v>1415</v>
      </c>
      <c r="H8" s="139" t="s">
        <v>36</v>
      </c>
      <c r="I8" s="141"/>
      <c r="J8" s="141"/>
      <c r="K8" s="140">
        <v>44866.0</v>
      </c>
    </row>
    <row r="9">
      <c r="A9" s="8" t="s">
        <v>45</v>
      </c>
      <c r="B9" s="138" t="s">
        <v>365</v>
      </c>
      <c r="C9" s="8"/>
      <c r="D9" s="8" t="s">
        <v>1426</v>
      </c>
      <c r="E9" s="141"/>
      <c r="F9" s="141"/>
      <c r="G9" s="8" t="s">
        <v>1415</v>
      </c>
      <c r="H9" s="139" t="s">
        <v>364</v>
      </c>
      <c r="I9" s="8" t="s">
        <v>1427</v>
      </c>
      <c r="J9" s="141"/>
      <c r="K9" s="140">
        <v>44866.0</v>
      </c>
    </row>
    <row r="10">
      <c r="A10" s="8" t="s">
        <v>48</v>
      </c>
      <c r="B10" s="138" t="s">
        <v>374</v>
      </c>
      <c r="C10" s="8"/>
      <c r="D10" s="8" t="s">
        <v>1426</v>
      </c>
      <c r="E10" s="8" t="s">
        <v>1428</v>
      </c>
      <c r="F10" s="8" t="s">
        <v>1429</v>
      </c>
      <c r="G10" s="8" t="s">
        <v>1415</v>
      </c>
      <c r="H10" s="139" t="s">
        <v>927</v>
      </c>
      <c r="I10" s="8" t="s">
        <v>1427</v>
      </c>
      <c r="J10" s="141"/>
      <c r="K10" s="140">
        <v>44866.0</v>
      </c>
    </row>
    <row r="11">
      <c r="A11" s="8" t="s">
        <v>258</v>
      </c>
      <c r="B11" s="138" t="s">
        <v>389</v>
      </c>
      <c r="C11" s="8"/>
      <c r="D11" s="8" t="s">
        <v>996</v>
      </c>
      <c r="E11" s="8" t="s">
        <v>1430</v>
      </c>
      <c r="F11" s="8" t="s">
        <v>1431</v>
      </c>
      <c r="G11" s="8" t="s">
        <v>1415</v>
      </c>
      <c r="H11" s="139" t="s">
        <v>388</v>
      </c>
      <c r="I11" s="141"/>
      <c r="J11" s="141"/>
      <c r="K11" s="140">
        <v>44866.0</v>
      </c>
    </row>
    <row r="12">
      <c r="A12" s="8" t="s">
        <v>54</v>
      </c>
      <c r="B12" s="138" t="s">
        <v>396</v>
      </c>
      <c r="C12" s="8"/>
      <c r="D12" s="8" t="s">
        <v>975</v>
      </c>
      <c r="E12" s="141"/>
      <c r="F12" s="141"/>
      <c r="G12" s="8" t="s">
        <v>811</v>
      </c>
      <c r="H12" s="139" t="s">
        <v>55</v>
      </c>
      <c r="I12" s="141"/>
      <c r="J12" s="141"/>
      <c r="K12" s="140">
        <v>44866.0</v>
      </c>
    </row>
    <row r="13">
      <c r="A13" s="8" t="s">
        <v>259</v>
      </c>
      <c r="B13" s="138" t="s">
        <v>408</v>
      </c>
      <c r="C13" s="8"/>
      <c r="D13" s="8" t="s">
        <v>975</v>
      </c>
      <c r="E13" s="141"/>
      <c r="F13" s="141"/>
      <c r="G13" s="8" t="s">
        <v>811</v>
      </c>
      <c r="H13" s="141"/>
      <c r="I13" s="141"/>
      <c r="J13" s="141"/>
      <c r="K13" s="140">
        <v>44866.0</v>
      </c>
    </row>
    <row r="14">
      <c r="A14" s="8" t="s">
        <v>60</v>
      </c>
      <c r="B14" s="138" t="s">
        <v>412</v>
      </c>
      <c r="C14" s="8"/>
      <c r="D14" s="8" t="s">
        <v>996</v>
      </c>
      <c r="E14" s="8" t="s">
        <v>1432</v>
      </c>
      <c r="F14" s="8" t="s">
        <v>1433</v>
      </c>
      <c r="G14" s="8" t="s">
        <v>493</v>
      </c>
      <c r="H14" s="141"/>
      <c r="I14" s="141"/>
      <c r="J14" s="141"/>
      <c r="K14" s="140">
        <v>44866.0</v>
      </c>
    </row>
    <row r="15">
      <c r="A15" s="8" t="s">
        <v>69</v>
      </c>
      <c r="B15" s="138" t="s">
        <v>432</v>
      </c>
      <c r="C15" s="8"/>
      <c r="D15" s="8" t="s">
        <v>996</v>
      </c>
      <c r="E15" s="8" t="s">
        <v>1434</v>
      </c>
      <c r="F15" s="8" t="s">
        <v>1435</v>
      </c>
      <c r="G15" s="8" t="s">
        <v>493</v>
      </c>
      <c r="H15" s="139" t="s">
        <v>1436</v>
      </c>
      <c r="I15" s="141"/>
      <c r="J15" s="141"/>
      <c r="K15" s="140">
        <v>44866.0</v>
      </c>
    </row>
    <row r="16">
      <c r="A16" s="8" t="s">
        <v>76</v>
      </c>
      <c r="B16" s="138" t="s">
        <v>450</v>
      </c>
      <c r="C16" s="8"/>
      <c r="D16" s="8" t="s">
        <v>975</v>
      </c>
      <c r="E16" s="141"/>
      <c r="F16" s="141"/>
      <c r="G16" s="8" t="s">
        <v>493</v>
      </c>
      <c r="H16" s="139" t="s">
        <v>1437</v>
      </c>
      <c r="I16" s="141"/>
      <c r="J16" s="140">
        <v>44859.0</v>
      </c>
      <c r="K16" s="140">
        <v>44866.0</v>
      </c>
    </row>
    <row r="17">
      <c r="A17" s="8" t="s">
        <v>90</v>
      </c>
      <c r="B17" s="138" t="s">
        <v>467</v>
      </c>
      <c r="C17" s="8"/>
      <c r="D17" s="8" t="s">
        <v>996</v>
      </c>
      <c r="E17" s="8" t="s">
        <v>1434</v>
      </c>
      <c r="F17" s="8" t="s">
        <v>1435</v>
      </c>
      <c r="G17" s="8" t="s">
        <v>493</v>
      </c>
      <c r="H17" s="139" t="s">
        <v>1438</v>
      </c>
      <c r="I17" s="141"/>
      <c r="J17" s="141"/>
      <c r="K17" s="140">
        <v>44866.0</v>
      </c>
    </row>
    <row r="18">
      <c r="A18" s="8" t="s">
        <v>261</v>
      </c>
      <c r="B18" s="138" t="s">
        <v>483</v>
      </c>
      <c r="C18" s="8"/>
      <c r="D18" s="8" t="s">
        <v>975</v>
      </c>
      <c r="E18" s="141"/>
      <c r="F18" s="141"/>
      <c r="G18" s="8" t="s">
        <v>493</v>
      </c>
      <c r="H18" s="139" t="s">
        <v>1439</v>
      </c>
      <c r="I18" s="141"/>
      <c r="J18" s="140">
        <v>44859.0</v>
      </c>
      <c r="K18" s="140">
        <v>44866.0</v>
      </c>
    </row>
    <row r="19">
      <c r="A19" s="8" t="s">
        <v>94</v>
      </c>
      <c r="B19" s="138" t="s">
        <v>492</v>
      </c>
      <c r="C19" s="8" t="s">
        <v>974</v>
      </c>
      <c r="D19" s="8" t="s">
        <v>996</v>
      </c>
      <c r="E19" s="8" t="s">
        <v>1440</v>
      </c>
      <c r="F19" s="8" t="s">
        <v>1435</v>
      </c>
      <c r="G19" s="8" t="s">
        <v>493</v>
      </c>
      <c r="H19" s="139" t="s">
        <v>1441</v>
      </c>
      <c r="I19" s="141"/>
      <c r="J19" s="140">
        <v>44859.0</v>
      </c>
      <c r="K19" s="140">
        <v>44866.0</v>
      </c>
    </row>
    <row r="20">
      <c r="A20" s="8" t="s">
        <v>99</v>
      </c>
      <c r="B20" s="138" t="s">
        <v>495</v>
      </c>
      <c r="C20" s="8"/>
      <c r="D20" s="8" t="s">
        <v>996</v>
      </c>
      <c r="E20" s="8" t="s">
        <v>1442</v>
      </c>
      <c r="F20" s="8" t="s">
        <v>1443</v>
      </c>
      <c r="G20" s="8" t="s">
        <v>493</v>
      </c>
      <c r="H20" s="139" t="s">
        <v>1444</v>
      </c>
      <c r="I20" s="141"/>
      <c r="J20" s="141"/>
      <c r="K20" s="140">
        <v>44866.0</v>
      </c>
    </row>
    <row r="21">
      <c r="A21" s="8" t="s">
        <v>1445</v>
      </c>
      <c r="B21" s="138" t="s">
        <v>512</v>
      </c>
      <c r="C21" s="8"/>
      <c r="D21" s="8" t="s">
        <v>975</v>
      </c>
      <c r="E21" s="141"/>
      <c r="F21" s="141"/>
      <c r="G21" s="141"/>
      <c r="H21" s="142"/>
      <c r="I21" s="141"/>
      <c r="J21" s="141"/>
      <c r="K21" s="140">
        <v>44866.0</v>
      </c>
    </row>
    <row r="22">
      <c r="A22" s="8" t="s">
        <v>107</v>
      </c>
      <c r="B22" s="138" t="s">
        <v>522</v>
      </c>
      <c r="C22" s="8"/>
      <c r="D22" s="8" t="s">
        <v>996</v>
      </c>
      <c r="E22" s="8" t="s">
        <v>1446</v>
      </c>
      <c r="F22" s="8" t="s">
        <v>1447</v>
      </c>
      <c r="G22" s="8" t="s">
        <v>493</v>
      </c>
      <c r="H22" s="139" t="s">
        <v>1448</v>
      </c>
      <c r="I22" s="141"/>
      <c r="J22" s="140">
        <v>44859.0</v>
      </c>
      <c r="K22" s="140">
        <v>44866.0</v>
      </c>
    </row>
    <row r="23">
      <c r="A23" s="8" t="s">
        <v>1449</v>
      </c>
      <c r="B23" s="138" t="s">
        <v>557</v>
      </c>
      <c r="C23" s="8"/>
      <c r="D23" s="8" t="s">
        <v>975</v>
      </c>
      <c r="E23" s="141"/>
      <c r="F23" s="141"/>
      <c r="G23" s="8" t="s">
        <v>625</v>
      </c>
      <c r="H23" s="141"/>
      <c r="I23" s="141"/>
      <c r="J23" s="141"/>
      <c r="K23" s="140">
        <v>44866.0</v>
      </c>
    </row>
    <row r="24">
      <c r="A24" s="8" t="s">
        <v>118</v>
      </c>
      <c r="B24" s="138" t="s">
        <v>565</v>
      </c>
      <c r="C24" s="8"/>
      <c r="D24" s="8" t="s">
        <v>975</v>
      </c>
      <c r="E24" s="141"/>
      <c r="F24" s="141"/>
      <c r="G24" s="8" t="s">
        <v>625</v>
      </c>
      <c r="H24" s="141"/>
      <c r="I24" s="141"/>
      <c r="J24" s="141"/>
      <c r="K24" s="140">
        <v>44866.0</v>
      </c>
    </row>
    <row r="25">
      <c r="A25" s="8" t="s">
        <v>121</v>
      </c>
      <c r="B25" s="138" t="s">
        <v>568</v>
      </c>
      <c r="C25" s="8"/>
      <c r="D25" s="8" t="s">
        <v>975</v>
      </c>
      <c r="E25" s="141"/>
      <c r="F25" s="141"/>
      <c r="G25" s="8" t="s">
        <v>625</v>
      </c>
      <c r="H25" s="139" t="s">
        <v>1450</v>
      </c>
      <c r="I25" s="141"/>
      <c r="J25" s="140">
        <v>44859.0</v>
      </c>
      <c r="K25" s="140">
        <v>44866.0</v>
      </c>
    </row>
    <row r="26">
      <c r="A26" s="8" t="s">
        <v>262</v>
      </c>
      <c r="B26" s="138" t="s">
        <v>584</v>
      </c>
      <c r="C26" s="8"/>
      <c r="D26" s="8" t="s">
        <v>975</v>
      </c>
      <c r="E26" s="141"/>
      <c r="F26" s="141"/>
      <c r="G26" s="8" t="s">
        <v>625</v>
      </c>
      <c r="H26" s="141"/>
      <c r="I26" s="141"/>
      <c r="J26" s="141"/>
      <c r="K26" s="140">
        <v>44866.0</v>
      </c>
    </row>
    <row r="27">
      <c r="A27" s="8" t="s">
        <v>131</v>
      </c>
      <c r="B27" s="138" t="s">
        <v>591</v>
      </c>
      <c r="C27" s="8"/>
      <c r="D27" s="8" t="s">
        <v>975</v>
      </c>
      <c r="E27" s="141"/>
      <c r="F27" s="141"/>
      <c r="G27" s="8" t="s">
        <v>625</v>
      </c>
      <c r="H27" s="139" t="s">
        <v>1451</v>
      </c>
      <c r="I27" s="141"/>
      <c r="J27" s="141"/>
      <c r="K27" s="140">
        <v>44866.0</v>
      </c>
    </row>
    <row r="28">
      <c r="A28" s="8" t="s">
        <v>263</v>
      </c>
      <c r="B28" s="138" t="s">
        <v>603</v>
      </c>
      <c r="C28" s="8"/>
      <c r="D28" s="8" t="s">
        <v>975</v>
      </c>
      <c r="E28" s="141"/>
      <c r="F28" s="141"/>
      <c r="G28" s="8" t="s">
        <v>625</v>
      </c>
      <c r="H28" s="141"/>
      <c r="I28" s="141"/>
      <c r="J28" s="141"/>
      <c r="K28" s="140">
        <v>44866.0</v>
      </c>
    </row>
    <row r="29">
      <c r="A29" s="8" t="s">
        <v>264</v>
      </c>
      <c r="B29" s="138" t="s">
        <v>607</v>
      </c>
      <c r="C29" s="8"/>
      <c r="D29" s="8" t="s">
        <v>975</v>
      </c>
      <c r="E29" s="141"/>
      <c r="F29" s="141"/>
      <c r="G29" s="8" t="s">
        <v>713</v>
      </c>
      <c r="H29" s="141"/>
      <c r="I29" s="141"/>
      <c r="J29" s="141"/>
      <c r="K29" s="140">
        <v>44866.0</v>
      </c>
    </row>
    <row r="30">
      <c r="A30" s="8" t="s">
        <v>142</v>
      </c>
      <c r="B30" s="138" t="s">
        <v>612</v>
      </c>
      <c r="C30" s="8"/>
      <c r="D30" s="8" t="s">
        <v>975</v>
      </c>
      <c r="E30" s="141"/>
      <c r="F30" s="141"/>
      <c r="G30" s="8" t="s">
        <v>713</v>
      </c>
      <c r="H30" s="139" t="s">
        <v>1452</v>
      </c>
      <c r="I30" s="141"/>
      <c r="J30" s="140">
        <v>44859.0</v>
      </c>
      <c r="K30" s="140">
        <v>44866.0</v>
      </c>
    </row>
    <row r="31">
      <c r="A31" s="8" t="s">
        <v>1453</v>
      </c>
      <c r="B31" s="138" t="s">
        <v>624</v>
      </c>
      <c r="C31" s="8" t="s">
        <v>974</v>
      </c>
      <c r="D31" s="8" t="s">
        <v>975</v>
      </c>
      <c r="E31" s="141"/>
      <c r="F31" s="141"/>
      <c r="G31" s="8" t="s">
        <v>713</v>
      </c>
      <c r="H31" s="141"/>
      <c r="I31" s="141"/>
      <c r="J31" s="141"/>
      <c r="K31" s="140">
        <v>44866.0</v>
      </c>
    </row>
    <row r="32">
      <c r="A32" s="8" t="s">
        <v>146</v>
      </c>
      <c r="B32" s="138" t="s">
        <v>627</v>
      </c>
      <c r="C32" s="8"/>
      <c r="D32" s="8" t="s">
        <v>975</v>
      </c>
      <c r="E32" s="141"/>
      <c r="F32" s="141"/>
      <c r="G32" s="8" t="s">
        <v>713</v>
      </c>
      <c r="H32" s="139" t="s">
        <v>1454</v>
      </c>
      <c r="I32" s="141"/>
      <c r="J32" s="140">
        <v>44859.0</v>
      </c>
      <c r="K32" s="140">
        <v>44866.0</v>
      </c>
    </row>
    <row r="33">
      <c r="A33" s="8" t="s">
        <v>149</v>
      </c>
      <c r="B33" s="138" t="s">
        <v>642</v>
      </c>
      <c r="C33" s="8"/>
      <c r="D33" s="8" t="s">
        <v>1426</v>
      </c>
      <c r="E33" s="141"/>
      <c r="F33" s="141"/>
      <c r="G33" s="8" t="s">
        <v>713</v>
      </c>
      <c r="H33" s="139" t="s">
        <v>647</v>
      </c>
      <c r="I33" s="141"/>
      <c r="J33" s="140">
        <v>44859.0</v>
      </c>
      <c r="K33" s="140">
        <v>44866.0</v>
      </c>
    </row>
    <row r="34">
      <c r="A34" s="8" t="s">
        <v>1455</v>
      </c>
      <c r="B34" s="138" t="s">
        <v>660</v>
      </c>
      <c r="C34" s="8" t="s">
        <v>974</v>
      </c>
      <c r="D34" s="8" t="s">
        <v>975</v>
      </c>
      <c r="E34" s="141"/>
      <c r="F34" s="141"/>
      <c r="G34" s="8" t="s">
        <v>1417</v>
      </c>
      <c r="H34" s="141"/>
      <c r="I34" s="141"/>
      <c r="J34" s="141"/>
      <c r="K34" s="140">
        <v>44866.0</v>
      </c>
    </row>
    <row r="35">
      <c r="A35" s="8" t="s">
        <v>153</v>
      </c>
      <c r="B35" s="138" t="s">
        <v>668</v>
      </c>
      <c r="C35" s="8"/>
      <c r="D35" s="8" t="s">
        <v>996</v>
      </c>
      <c r="E35" s="8" t="s">
        <v>1432</v>
      </c>
      <c r="F35" s="8" t="s">
        <v>1433</v>
      </c>
      <c r="G35" s="8" t="s">
        <v>353</v>
      </c>
      <c r="H35" s="139" t="s">
        <v>1456</v>
      </c>
      <c r="I35" s="141"/>
      <c r="J35" s="140">
        <v>44859.0</v>
      </c>
      <c r="K35" s="140">
        <v>44866.0</v>
      </c>
    </row>
    <row r="36">
      <c r="A36" s="8" t="s">
        <v>161</v>
      </c>
      <c r="B36" s="138" t="s">
        <v>679</v>
      </c>
      <c r="C36" s="8"/>
      <c r="D36" s="8" t="s">
        <v>996</v>
      </c>
      <c r="E36" s="8" t="s">
        <v>1457</v>
      </c>
      <c r="F36" s="8" t="s">
        <v>1458</v>
      </c>
      <c r="G36" s="8" t="s">
        <v>353</v>
      </c>
      <c r="H36" s="139" t="s">
        <v>1459</v>
      </c>
      <c r="I36" s="141"/>
      <c r="J36" s="140">
        <v>44859.0</v>
      </c>
      <c r="K36" s="140">
        <v>44866.0</v>
      </c>
    </row>
    <row r="37">
      <c r="A37" s="8" t="s">
        <v>169</v>
      </c>
      <c r="B37" s="138" t="s">
        <v>697</v>
      </c>
      <c r="C37" s="8"/>
      <c r="D37" s="8" t="s">
        <v>996</v>
      </c>
      <c r="E37" s="8" t="s">
        <v>1460</v>
      </c>
      <c r="F37" s="8" t="s">
        <v>1461</v>
      </c>
      <c r="G37" s="8" t="s">
        <v>353</v>
      </c>
      <c r="H37" s="139" t="s">
        <v>1462</v>
      </c>
      <c r="I37" s="141"/>
      <c r="J37" s="141"/>
      <c r="K37" s="140">
        <v>44866.0</v>
      </c>
    </row>
    <row r="38">
      <c r="A38" s="8" t="s">
        <v>192</v>
      </c>
      <c r="B38" s="138" t="s">
        <v>722</v>
      </c>
      <c r="C38" s="8"/>
      <c r="D38" s="8" t="s">
        <v>996</v>
      </c>
      <c r="E38" s="8" t="s">
        <v>1440</v>
      </c>
      <c r="F38" s="8" t="s">
        <v>1463</v>
      </c>
      <c r="G38" s="8" t="s">
        <v>353</v>
      </c>
      <c r="H38" s="139" t="s">
        <v>1464</v>
      </c>
      <c r="I38" s="141"/>
      <c r="J38" s="141"/>
      <c r="K38" s="140">
        <v>44866.0</v>
      </c>
    </row>
    <row r="39">
      <c r="A39" s="8" t="s">
        <v>1465</v>
      </c>
      <c r="B39" s="138" t="s">
        <v>735</v>
      </c>
      <c r="C39" s="8" t="s">
        <v>974</v>
      </c>
      <c r="D39" s="8" t="s">
        <v>975</v>
      </c>
      <c r="E39" s="141"/>
      <c r="F39" s="141"/>
      <c r="G39" s="8" t="s">
        <v>1417</v>
      </c>
      <c r="H39" s="141"/>
      <c r="I39" s="141"/>
      <c r="J39" s="141"/>
      <c r="K39" s="140">
        <v>44866.0</v>
      </c>
    </row>
    <row r="40">
      <c r="A40" s="8" t="s">
        <v>265</v>
      </c>
      <c r="B40" s="138" t="s">
        <v>741</v>
      </c>
      <c r="C40" s="8"/>
      <c r="D40" s="8" t="s">
        <v>1426</v>
      </c>
      <c r="E40" s="141"/>
      <c r="F40" s="141"/>
      <c r="G40" s="8" t="s">
        <v>353</v>
      </c>
      <c r="H40" s="139" t="s">
        <v>1466</v>
      </c>
      <c r="I40" s="8" t="s">
        <v>1427</v>
      </c>
      <c r="J40" s="141"/>
      <c r="K40" s="140">
        <v>44866.0</v>
      </c>
    </row>
    <row r="41">
      <c r="A41" s="8" t="s">
        <v>196</v>
      </c>
      <c r="B41" s="138" t="s">
        <v>759</v>
      </c>
      <c r="C41" s="8"/>
      <c r="D41" s="8" t="s">
        <v>996</v>
      </c>
      <c r="E41" s="8" t="s">
        <v>1467</v>
      </c>
      <c r="F41" s="8" t="s">
        <v>1461</v>
      </c>
      <c r="G41" s="8" t="s">
        <v>353</v>
      </c>
      <c r="H41" s="139" t="s">
        <v>1468</v>
      </c>
      <c r="I41" s="141"/>
      <c r="J41" s="141"/>
      <c r="K41" s="140">
        <v>44866.0</v>
      </c>
    </row>
    <row r="42">
      <c r="A42" s="8" t="s">
        <v>202</v>
      </c>
      <c r="B42" s="138" t="s">
        <v>770</v>
      </c>
      <c r="C42" s="8"/>
      <c r="D42" s="8" t="s">
        <v>996</v>
      </c>
      <c r="E42" s="8" t="s">
        <v>1469</v>
      </c>
      <c r="F42" s="8" t="s">
        <v>1470</v>
      </c>
      <c r="G42" s="8" t="s">
        <v>353</v>
      </c>
      <c r="H42" s="139" t="s">
        <v>1471</v>
      </c>
      <c r="I42" s="141"/>
      <c r="J42" s="141"/>
      <c r="K42" s="140">
        <v>44866.0</v>
      </c>
    </row>
    <row r="43">
      <c r="A43" s="8" t="s">
        <v>266</v>
      </c>
      <c r="B43" s="138" t="s">
        <v>793</v>
      </c>
      <c r="C43" s="8"/>
      <c r="D43" s="8" t="s">
        <v>975</v>
      </c>
      <c r="E43" s="141"/>
      <c r="F43" s="141"/>
      <c r="G43" s="8" t="s">
        <v>811</v>
      </c>
      <c r="H43" s="142"/>
      <c r="I43" s="141"/>
      <c r="J43" s="141"/>
      <c r="K43" s="140">
        <v>44866.0</v>
      </c>
    </row>
    <row r="44">
      <c r="A44" s="8" t="s">
        <v>205</v>
      </c>
      <c r="B44" s="138" t="s">
        <v>802</v>
      </c>
      <c r="C44" s="8"/>
      <c r="D44" s="8" t="s">
        <v>975</v>
      </c>
      <c r="E44" s="141"/>
      <c r="F44" s="141"/>
      <c r="G44" s="8" t="s">
        <v>811</v>
      </c>
      <c r="H44" s="8" t="s">
        <v>952</v>
      </c>
      <c r="I44" s="141"/>
      <c r="J44" s="141"/>
      <c r="K44" s="140">
        <v>44866.0</v>
      </c>
    </row>
    <row r="45">
      <c r="A45" s="8" t="s">
        <v>205</v>
      </c>
      <c r="B45" s="138" t="s">
        <v>802</v>
      </c>
      <c r="C45" s="8"/>
      <c r="D45" s="8" t="s">
        <v>1472</v>
      </c>
      <c r="E45" s="141"/>
      <c r="F45" s="141"/>
      <c r="G45" s="8" t="s">
        <v>803</v>
      </c>
      <c r="H45" s="139" t="s">
        <v>1473</v>
      </c>
      <c r="I45" s="8" t="s">
        <v>1474</v>
      </c>
      <c r="J45" s="140">
        <v>44859.0</v>
      </c>
      <c r="K45" s="140">
        <v>44866.0</v>
      </c>
    </row>
    <row r="46">
      <c r="A46" s="8" t="s">
        <v>1475</v>
      </c>
      <c r="B46" s="138" t="s">
        <v>825</v>
      </c>
      <c r="C46" s="8" t="s">
        <v>974</v>
      </c>
      <c r="D46" s="8" t="s">
        <v>975</v>
      </c>
      <c r="E46" s="141"/>
      <c r="F46" s="141"/>
      <c r="G46" s="8" t="s">
        <v>1417</v>
      </c>
      <c r="H46" s="142"/>
      <c r="I46" s="141"/>
      <c r="J46" s="141"/>
      <c r="K46" s="140">
        <v>44866.0</v>
      </c>
    </row>
    <row r="47">
      <c r="A47" s="8" t="s">
        <v>227</v>
      </c>
      <c r="B47" s="138" t="s">
        <v>829</v>
      </c>
      <c r="C47" s="8"/>
      <c r="D47" s="8" t="s">
        <v>1426</v>
      </c>
      <c r="E47" s="141"/>
      <c r="F47" s="141"/>
      <c r="G47" s="8" t="s">
        <v>811</v>
      </c>
      <c r="H47" s="139" t="s">
        <v>1476</v>
      </c>
      <c r="I47" s="8" t="s">
        <v>1427</v>
      </c>
      <c r="J47" s="141"/>
      <c r="K47" s="140">
        <v>44866.0</v>
      </c>
    </row>
    <row r="48">
      <c r="A48" s="8" t="s">
        <v>1477</v>
      </c>
      <c r="B48" s="138" t="s">
        <v>864</v>
      </c>
      <c r="C48" s="8" t="s">
        <v>974</v>
      </c>
      <c r="D48" s="8" t="s">
        <v>975</v>
      </c>
      <c r="E48" s="141"/>
      <c r="F48" s="141"/>
      <c r="G48" s="8" t="s">
        <v>1417</v>
      </c>
      <c r="H48" s="142"/>
      <c r="I48" s="141"/>
      <c r="J48" s="141"/>
      <c r="K48" s="140">
        <v>44866.0</v>
      </c>
    </row>
    <row r="49">
      <c r="A49" s="8" t="s">
        <v>236</v>
      </c>
      <c r="B49" s="138" t="s">
        <v>867</v>
      </c>
      <c r="C49" s="8"/>
      <c r="D49" s="8" t="s">
        <v>975</v>
      </c>
      <c r="E49" s="141"/>
      <c r="F49" s="141"/>
      <c r="G49" s="8" t="s">
        <v>811</v>
      </c>
      <c r="H49" s="142"/>
      <c r="I49" s="141"/>
      <c r="J49" s="141"/>
      <c r="K49" s="140">
        <v>44866.0</v>
      </c>
    </row>
    <row r="50">
      <c r="A50" s="8" t="s">
        <v>244</v>
      </c>
      <c r="B50" s="138" t="s">
        <v>892</v>
      </c>
      <c r="C50" s="8" t="s">
        <v>974</v>
      </c>
      <c r="D50" s="8" t="s">
        <v>996</v>
      </c>
      <c r="E50" s="8" t="s">
        <v>1442</v>
      </c>
      <c r="F50" s="8" t="s">
        <v>1443</v>
      </c>
      <c r="G50" s="8" t="s">
        <v>1417</v>
      </c>
      <c r="H50" s="139" t="s">
        <v>243</v>
      </c>
      <c r="I50" s="141"/>
      <c r="J50" s="141"/>
      <c r="K50" s="140">
        <v>44866.0</v>
      </c>
    </row>
    <row r="51">
      <c r="A51" s="143"/>
      <c r="C51" s="143"/>
      <c r="D51" s="143"/>
      <c r="E51" s="143"/>
      <c r="F51" s="143"/>
      <c r="G51" s="143"/>
      <c r="H51" s="144"/>
      <c r="I51" s="143"/>
      <c r="J51" s="143"/>
      <c r="K51" s="140"/>
    </row>
    <row r="52">
      <c r="A52" s="145" t="s">
        <v>1478</v>
      </c>
      <c r="B52" s="8"/>
      <c r="C52" s="8"/>
      <c r="D52" s="8" t="s">
        <v>1426</v>
      </c>
      <c r="E52" s="141"/>
      <c r="F52" s="141"/>
      <c r="G52" s="8" t="s">
        <v>540</v>
      </c>
      <c r="H52" s="139" t="s">
        <v>106</v>
      </c>
      <c r="I52" s="8" t="s">
        <v>1427</v>
      </c>
      <c r="J52" s="141"/>
      <c r="K52" s="140"/>
    </row>
    <row r="53">
      <c r="A53" s="145" t="s">
        <v>1479</v>
      </c>
      <c r="B53" s="8"/>
      <c r="C53" s="8"/>
      <c r="D53" s="8" t="s">
        <v>1426</v>
      </c>
      <c r="E53" s="141"/>
      <c r="F53" s="141"/>
      <c r="G53" s="141"/>
      <c r="H53" s="141"/>
      <c r="I53" s="8" t="s">
        <v>1427</v>
      </c>
      <c r="J53" s="141"/>
      <c r="K53" s="140"/>
    </row>
    <row r="54">
      <c r="A54" s="141"/>
      <c r="B54" s="141"/>
      <c r="C54" s="141"/>
      <c r="D54" s="141"/>
      <c r="E54" s="141"/>
      <c r="F54" s="141"/>
      <c r="G54" s="141"/>
      <c r="H54" s="141"/>
      <c r="I54" s="141"/>
      <c r="J54" s="141"/>
      <c r="K54" s="140"/>
    </row>
    <row r="55">
      <c r="A55" s="8" t="s">
        <v>963</v>
      </c>
      <c r="B55" s="8"/>
      <c r="C55" s="8"/>
      <c r="D55" s="8" t="s">
        <v>975</v>
      </c>
      <c r="E55" s="141"/>
      <c r="F55" s="141"/>
      <c r="G55" s="8" t="s">
        <v>964</v>
      </c>
      <c r="H55" s="139" t="s">
        <v>1448</v>
      </c>
      <c r="I55" s="141"/>
      <c r="J55" s="141"/>
      <c r="K55" s="140"/>
    </row>
  </sheetData>
  <hyperlinks>
    <hyperlink r:id="rId1" ref="H2"/>
    <hyperlink r:id="rId2" ref="H4"/>
    <hyperlink r:id="rId3" ref="H5"/>
    <hyperlink r:id="rId4" ref="H6"/>
    <hyperlink r:id="rId5" ref="H7"/>
    <hyperlink r:id="rId6" ref="H8"/>
    <hyperlink r:id="rId7" ref="H9"/>
    <hyperlink r:id="rId8" ref="H10"/>
    <hyperlink r:id="rId9" ref="H11"/>
    <hyperlink r:id="rId10" ref="H12"/>
    <hyperlink r:id="rId11" ref="H15"/>
    <hyperlink r:id="rId12" ref="H16"/>
    <hyperlink r:id="rId13" ref="H17"/>
    <hyperlink r:id="rId14" ref="H18"/>
    <hyperlink r:id="rId15" ref="H19"/>
    <hyperlink r:id="rId16" ref="H20"/>
    <hyperlink r:id="rId17" ref="H22"/>
    <hyperlink r:id="rId18" ref="H25"/>
    <hyperlink r:id="rId19" ref="H27"/>
    <hyperlink r:id="rId20" ref="H30"/>
    <hyperlink r:id="rId21" ref="H32"/>
    <hyperlink r:id="rId22" ref="H33"/>
    <hyperlink r:id="rId23" ref="H35"/>
    <hyperlink r:id="rId24" ref="H36"/>
    <hyperlink r:id="rId25" ref="H37"/>
    <hyperlink r:id="rId26" ref="H38"/>
    <hyperlink r:id="rId27" ref="H40"/>
    <hyperlink r:id="rId28" ref="H41"/>
    <hyperlink r:id="rId29" ref="H42"/>
    <hyperlink r:id="rId30" ref="H45"/>
    <hyperlink r:id="rId31" ref="H47"/>
    <hyperlink r:id="rId32" ref="H50"/>
    <hyperlink r:id="rId33" ref="H52"/>
    <hyperlink r:id="rId34" ref="H55"/>
  </hyperlinks>
  <drawing r:id="rId35"/>
</worksheet>
</file>