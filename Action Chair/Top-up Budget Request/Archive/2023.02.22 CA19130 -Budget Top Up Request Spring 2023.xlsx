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DGEULPL5CZybdaIVHKpzynqmpqw=="/>
    </ext>
  </extLst>
</workbook>
</file>

<file path=xl/sharedStrings.xml><?xml version="1.0" encoding="utf-8"?>
<sst xmlns="http://schemas.openxmlformats.org/spreadsheetml/2006/main" count="118" uniqueCount="102">
  <si>
    <t>Finalized deliverables per meeting</t>
  </si>
  <si>
    <t>Current Registrations</t>
  </si>
  <si>
    <t>Action number</t>
  </si>
  <si>
    <t>Networking tool (meeting, TS, Mobility of Researchers and Innovators, etc.)</t>
  </si>
  <si>
    <t>Name</t>
  </si>
  <si>
    <t>Short description and rationale</t>
  </si>
  <si>
    <t>estimated new reimbursement count</t>
  </si>
  <si>
    <t>Location</t>
  </si>
  <si>
    <t>Dates</t>
  </si>
  <si>
    <t>Duration in days</t>
  </si>
  <si>
    <t>additional Amount (without FSAC)</t>
  </si>
  <si>
    <t>Any remarks</t>
  </si>
  <si>
    <t xml:space="preserve">Current Amount </t>
  </si>
  <si>
    <t>New Amount</t>
  </si>
  <si>
    <t>Current allocation: Travel Costs</t>
  </si>
  <si>
    <t>Current allocation: LOS</t>
  </si>
  <si>
    <t>Current   On-site registrations</t>
  </si>
  <si>
    <t>Current Online registrations</t>
  </si>
  <si>
    <t>Total Registrations</t>
  </si>
  <si>
    <t>CA19130</t>
  </si>
  <si>
    <t>WG1, WG2, Diversity</t>
  </si>
  <si>
    <t xml:space="preserve">Diversity challenges and stakeholders' engagement </t>
  </si>
  <si>
    <t>Projected overspending of 1,220 EUR</t>
  </si>
  <si>
    <t xml:space="preserve">Cluj Napoca (Romania) </t>
  </si>
  <si>
    <t>February 1 - 2, 2023</t>
  </si>
  <si>
    <t>The meeting took place already.</t>
  </si>
  <si>
    <t>CG, WG1, WG2, Diversity</t>
  </si>
  <si>
    <t xml:space="preserve">Diversity challenges for a sustainable Fintech </t>
  </si>
  <si>
    <t>Actual onsite registrations substantially exceeds the current budget. Deliverable 4 will be finalized.</t>
  </si>
  <si>
    <t>Pavia (Italy)</t>
  </si>
  <si>
    <t>April 13 - 14, 2023</t>
  </si>
  <si>
    <t>The focus will be on the participation of young researchers and ITC.</t>
  </si>
  <si>
    <t>CG, WG1, WG2, WG3</t>
  </si>
  <si>
    <t xml:space="preserve">COST FinAI - Policy implications </t>
  </si>
  <si>
    <t>Actual onsite registrations substantially exceeds the current budget. Deliverable 10 will be finalized.</t>
  </si>
  <si>
    <t>Brussels (Belgium)</t>
  </si>
  <si>
    <t>May 15 - 16, 2023</t>
  </si>
  <si>
    <t>WG3</t>
  </si>
  <si>
    <t xml:space="preserve">Transparency of Digital Asset Investments </t>
  </si>
  <si>
    <t>Actual onsite registrations substantially exceeds the current budget.</t>
  </si>
  <si>
    <t>Winterthur (Switzerland)</t>
  </si>
  <si>
    <t>May 26, 2023</t>
  </si>
  <si>
    <t>Action Meeting</t>
  </si>
  <si>
    <t xml:space="preserve">Women in Fintech III - Portugal </t>
  </si>
  <si>
    <t>Actual onsite registrations substantially exceeds the current budget. Deliverable 1 will be finalized. ITC.</t>
  </si>
  <si>
    <t>Coimbra (Portugal)</t>
  </si>
  <si>
    <t>June 1 - 2, 2023</t>
  </si>
  <si>
    <t>CG</t>
  </si>
  <si>
    <t>COST FinAI meets Romania</t>
  </si>
  <si>
    <t>LOS was zero initially.</t>
  </si>
  <si>
    <t>Virtual (Romania)</t>
  </si>
  <si>
    <t>June 16, 2023</t>
  </si>
  <si>
    <t>LOS was initially zero</t>
  </si>
  <si>
    <t>CG, WG1, WG2</t>
  </si>
  <si>
    <t xml:space="preserve">ML, AI and Data Protection in Fintech Conference </t>
  </si>
  <si>
    <t>Actual onsite registrations substantially exceeds the current budget. Deliverable 8 will be finalized.</t>
  </si>
  <si>
    <t>Dublin (Ireland)</t>
  </si>
  <si>
    <t>July 7 - 9, 2023</t>
  </si>
  <si>
    <t>CG, WG2</t>
  </si>
  <si>
    <t>Nordic AI and Fintech</t>
  </si>
  <si>
    <t>Actual onsite registrations substantially exceeds the current budget. Deliverable 11 will be finalized.</t>
  </si>
  <si>
    <t>Helsinki (Finland)</t>
  </si>
  <si>
    <t>July 10 - 11, 2023</t>
  </si>
  <si>
    <t>MC, CG, WG1, WG2, WG3</t>
  </si>
  <si>
    <t>AI in Finance</t>
  </si>
  <si>
    <t>Actual onsite registrations substantially exceeds the current budget. Deliverable 15 will be finalized.</t>
  </si>
  <si>
    <t>Bern (Switzerland)</t>
  </si>
  <si>
    <t>September 27 - 28, 2023</t>
  </si>
  <si>
    <t>The top-up will be to ensure the participation of all MC members.</t>
  </si>
  <si>
    <t>Training school</t>
  </si>
  <si>
    <t>Data science for sustainable economics and finance</t>
  </si>
  <si>
    <t>3 Trainers &amp; 
3 Trainees</t>
  </si>
  <si>
    <t>Berlin (Germany)</t>
  </si>
  <si>
    <t>August 28 - Sept. 1, 2023</t>
  </si>
  <si>
    <t>The focus of the top-up will be on the participation of more PhD trainees.</t>
  </si>
  <si>
    <t>Training School</t>
  </si>
  <si>
    <t>Latest technologies and upcoming challenges</t>
  </si>
  <si>
    <t>Actual onsite registrations substantially exceeds the current budget. Deliverable 10 will be finalized. ITC Event.</t>
  </si>
  <si>
    <t>6 Trainers &amp; 
6 Trainees</t>
  </si>
  <si>
    <t>Tirana (Albania)</t>
  </si>
  <si>
    <t>April 26 - 28, 2023</t>
  </si>
  <si>
    <t xml:space="preserve">Risks and Digital Assets </t>
  </si>
  <si>
    <t>Actual onsite registrations substantially exceeds the current budget. Deliverable 13 will be finalized.</t>
  </si>
  <si>
    <t>4 Trainers &amp; 
4 Trainees</t>
  </si>
  <si>
    <t>Enschede (Netherlands)</t>
  </si>
  <si>
    <t>June 12 - 16, 2023</t>
  </si>
  <si>
    <t>Advanced Statistical Modelling for financial inclusion</t>
  </si>
  <si>
    <t>Actual onsite registrations substantially exceeds the current budget. Deliverables 5, 10 will be finalized.</t>
  </si>
  <si>
    <t>Naples (Italy)</t>
  </si>
  <si>
    <t>September 13 - 15, 2023</t>
  </si>
  <si>
    <t>Short Term Scientific Mission grants</t>
  </si>
  <si>
    <t>10 confirmed, only 3 in WBP. Each STSM will directly finalize a deliverable or objective. ITC and young researcher priority.</t>
  </si>
  <si>
    <t>Europe</t>
  </si>
  <si>
    <t>The focus of the top-up will be on young researchers and Ukraine.</t>
  </si>
  <si>
    <t xml:space="preserve">Virtual Mobility grants (VM) </t>
  </si>
  <si>
    <t>Enough budget allocated</t>
  </si>
  <si>
    <t>Virtual</t>
  </si>
  <si>
    <t>Dissemination Conference grants</t>
  </si>
  <si>
    <t xml:space="preserve">Dissemination and Communication </t>
  </si>
  <si>
    <t>Additional budget (without FSAC)</t>
  </si>
  <si>
    <t>FSAC</t>
  </si>
  <si>
    <t>Additional budget (incl. FSAC)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</si>
</sst>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_);[Red]\(#,##0.00\ [$€-1]\)"/>
    <numFmt numFmtId="165" formatCode="#,##0\ [$€-1]_);[Red]\(#,##0\ [$€-1]\)"/>
    <numFmt numFmtId="166" formatCode="#,##0\ &quot;€&quot;;[Red]\-#,##0\ &quot;€&quot;"/>
  </numFmts>
  <fonts count="4">
    <font>
      <sz val="11.0"/>
      <color theme="1"/>
      <name val="Calibri"/>
      <scheme val="minor"/>
    </font>
    <font>
      <sz val="12.0"/>
      <color theme="1"/>
      <name val="Times New Roman"/>
    </font>
    <font>
      <u/>
      <sz val="11.0"/>
      <color theme="10"/>
      <name val="Calibri"/>
    </font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</fills>
  <borders count="4">
    <border/>
    <border>
      <bottom style="medium">
        <color rgb="FF000000"/>
      </bottom>
    </border>
    <border>
      <left/>
      <right/>
      <top/>
      <bottom/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164" xfId="0" applyAlignment="1" applyBorder="1" applyFont="1" applyNumberFormat="1">
      <alignment readingOrder="0" shrinkToFit="0" wrapText="1"/>
    </xf>
    <xf borderId="1" fillId="0" fontId="3" numFmtId="164" xfId="0" applyAlignment="1" applyBorder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Font="1"/>
    <xf borderId="2" fillId="2" fontId="1" numFmtId="0" xfId="0" applyBorder="1" applyFill="1" applyFont="1"/>
    <xf borderId="2" fillId="3" fontId="1" numFmtId="0" xfId="0" applyBorder="1" applyFill="1" applyFont="1"/>
    <xf borderId="0" fillId="0" fontId="1" numFmtId="165" xfId="0" applyFont="1" applyNumberFormat="1"/>
    <xf borderId="0" fillId="0" fontId="1" numFmtId="166" xfId="0" applyFont="1" applyNumberFormat="1"/>
    <xf borderId="2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2" fontId="1" numFmtId="0" xfId="0" applyAlignment="1" applyBorder="1" applyFont="1">
      <alignment horizontal="right" readingOrder="0" shrinkToFit="0" wrapText="1"/>
    </xf>
    <xf borderId="0" fillId="0" fontId="1" numFmtId="17" xfId="0" applyFont="1" applyNumberFormat="1"/>
    <xf borderId="2" fillId="2" fontId="1" numFmtId="0" xfId="0" applyAlignment="1" applyBorder="1" applyFont="1">
      <alignment horizontal="right" shrinkToFit="0" wrapText="1"/>
    </xf>
    <xf borderId="3" fillId="0" fontId="1" numFmtId="0" xfId="0" applyBorder="1" applyFont="1"/>
    <xf borderId="3" fillId="0" fontId="1" numFmtId="165" xfId="0" applyBorder="1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6rcEI3JK_L86XzMK61Cun0V8JVUdNjnmAmLt8mT1kc/edit" TargetMode="External"/><Relationship Id="rId2" Type="http://schemas.openxmlformats.org/officeDocument/2006/relationships/hyperlink" Target="https://docs.google.com/forms/d/1e1HZNaGorLjYe13m-xEaYzrAYuPwR2uSEt1SQdFa068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6.43"/>
    <col customWidth="1" min="3" max="3" width="56.71"/>
    <col customWidth="1" min="4" max="4" width="53.0"/>
    <col customWidth="1" min="5" max="5" width="15.57"/>
    <col customWidth="1" min="6" max="6" width="12.57"/>
    <col customWidth="1" min="7" max="7" width="24.14"/>
    <col customWidth="1" min="8" max="8" width="25.86"/>
    <col customWidth="1" min="9" max="9" width="9.86"/>
    <col customWidth="1" min="10" max="10" width="17.43"/>
    <col customWidth="1" hidden="1" min="11" max="11" width="35.43"/>
    <col customWidth="1" min="12" max="12" width="17.0"/>
    <col customWidth="1" min="13" max="13" width="13.86"/>
    <col customWidth="1" min="14" max="14" width="15.86"/>
    <col customWidth="1" min="15" max="15" width="11.86"/>
    <col customWidth="1" min="16" max="16" width="12.57"/>
    <col customWidth="1" min="17" max="18" width="14.14"/>
    <col customWidth="1" min="19" max="24" width="8.86"/>
  </cols>
  <sheetData>
    <row r="1">
      <c r="A1" s="1"/>
      <c r="B1" s="1"/>
      <c r="C1" s="1"/>
      <c r="D1" s="2" t="s">
        <v>0</v>
      </c>
      <c r="E1" s="1"/>
      <c r="F1" s="2" t="s">
        <v>1</v>
      </c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3.5" customHeight="1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4" t="str">
        <f>P2</f>
        <v>Current   On-site registrations</v>
      </c>
      <c r="G2" s="4" t="s">
        <v>7</v>
      </c>
      <c r="H2" s="4" t="s">
        <v>8</v>
      </c>
      <c r="I2" s="4" t="s">
        <v>9</v>
      </c>
      <c r="J2" s="6" t="s">
        <v>10</v>
      </c>
      <c r="K2" s="4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4" t="s">
        <v>16</v>
      </c>
      <c r="Q2" s="4" t="s">
        <v>17</v>
      </c>
      <c r="R2" s="4" t="s">
        <v>18</v>
      </c>
      <c r="S2" s="8"/>
      <c r="T2" s="8"/>
      <c r="U2" s="8"/>
      <c r="V2" s="8"/>
      <c r="W2" s="8"/>
      <c r="X2" s="8"/>
    </row>
    <row r="3">
      <c r="A3" s="9" t="s">
        <v>19</v>
      </c>
      <c r="B3" s="1" t="s">
        <v>20</v>
      </c>
      <c r="C3" s="1" t="s">
        <v>21</v>
      </c>
      <c r="D3" s="1" t="s">
        <v>22</v>
      </c>
      <c r="E3" s="10">
        <v>11.0</v>
      </c>
      <c r="F3" s="11">
        <v>34.0</v>
      </c>
      <c r="G3" s="1" t="s">
        <v>23</v>
      </c>
      <c r="H3" s="1" t="s">
        <v>24</v>
      </c>
      <c r="I3" s="1">
        <v>2.0</v>
      </c>
      <c r="J3" s="12">
        <f>M3-L3</f>
        <v>1220</v>
      </c>
      <c r="K3" s="3" t="s">
        <v>25</v>
      </c>
      <c r="L3" s="12">
        <v>11571.0</v>
      </c>
      <c r="M3" s="12">
        <v>12791.0</v>
      </c>
      <c r="N3" s="12">
        <v>10571.0</v>
      </c>
      <c r="O3" s="13">
        <v>1000.0</v>
      </c>
      <c r="P3" s="9">
        <v>34.0</v>
      </c>
      <c r="Q3" s="1">
        <v>24.0</v>
      </c>
      <c r="R3" s="9">
        <f>Q3+E3</f>
        <v>35</v>
      </c>
      <c r="S3" s="1"/>
      <c r="T3" s="1"/>
      <c r="U3" s="1"/>
      <c r="V3" s="1"/>
      <c r="W3" s="1"/>
      <c r="X3" s="1"/>
    </row>
    <row r="4" ht="30.75" customHeight="1">
      <c r="A4" s="1"/>
      <c r="B4" s="1" t="s">
        <v>26</v>
      </c>
      <c r="C4" s="1" t="s">
        <v>27</v>
      </c>
      <c r="D4" s="8" t="s">
        <v>28</v>
      </c>
      <c r="E4" s="14">
        <v>11.0</v>
      </c>
      <c r="F4" s="11">
        <v>42.0</v>
      </c>
      <c r="G4" s="1" t="s">
        <v>29</v>
      </c>
      <c r="H4" s="1" t="s">
        <v>30</v>
      </c>
      <c r="I4" s="1">
        <v>2.0</v>
      </c>
      <c r="J4" s="12">
        <f t="shared" ref="J4:J7" si="1">0.3*L4</f>
        <v>2707.2</v>
      </c>
      <c r="K4" s="8" t="s">
        <v>31</v>
      </c>
      <c r="L4" s="12">
        <v>9024.0</v>
      </c>
      <c r="M4" s="12">
        <f t="shared" ref="M4:M19" si="2">L4+J4</f>
        <v>11731.2</v>
      </c>
      <c r="N4" s="12">
        <v>8024.0</v>
      </c>
      <c r="O4" s="13">
        <v>1000.0</v>
      </c>
      <c r="P4" s="9">
        <v>42.0</v>
      </c>
      <c r="Q4" s="1">
        <v>19.0</v>
      </c>
      <c r="R4" s="9">
        <f t="shared" ref="R4:R15" si="3">Q4+P4</f>
        <v>61</v>
      </c>
      <c r="S4" s="1"/>
      <c r="T4" s="1"/>
      <c r="U4" s="1"/>
      <c r="V4" s="1"/>
      <c r="W4" s="1"/>
      <c r="X4" s="1"/>
    </row>
    <row r="5" ht="30.75" customHeight="1">
      <c r="A5" s="1"/>
      <c r="B5" s="1" t="s">
        <v>32</v>
      </c>
      <c r="C5" s="1" t="s">
        <v>33</v>
      </c>
      <c r="D5" s="8" t="s">
        <v>34</v>
      </c>
      <c r="E5" s="14">
        <v>8.0</v>
      </c>
      <c r="F5" s="11">
        <v>56.0</v>
      </c>
      <c r="G5" s="1" t="s">
        <v>35</v>
      </c>
      <c r="H5" s="1" t="s">
        <v>36</v>
      </c>
      <c r="I5" s="1">
        <v>2.0</v>
      </c>
      <c r="J5" s="12">
        <f t="shared" si="1"/>
        <v>3498</v>
      </c>
      <c r="K5" s="8" t="s">
        <v>31</v>
      </c>
      <c r="L5" s="12">
        <v>11660.0</v>
      </c>
      <c r="M5" s="12">
        <f t="shared" si="2"/>
        <v>15158</v>
      </c>
      <c r="N5" s="12">
        <v>11660.0</v>
      </c>
      <c r="O5" s="13">
        <v>0.0</v>
      </c>
      <c r="P5" s="9">
        <v>56.0</v>
      </c>
      <c r="Q5" s="1">
        <v>20.0</v>
      </c>
      <c r="R5" s="9">
        <f t="shared" si="3"/>
        <v>76</v>
      </c>
      <c r="S5" s="1"/>
      <c r="T5" s="1"/>
      <c r="U5" s="1"/>
      <c r="V5" s="1"/>
      <c r="W5" s="1"/>
      <c r="X5" s="1"/>
    </row>
    <row r="6" ht="30.75" customHeight="1">
      <c r="A6" s="1"/>
      <c r="B6" s="1" t="s">
        <v>37</v>
      </c>
      <c r="C6" s="1" t="s">
        <v>38</v>
      </c>
      <c r="D6" s="8" t="s">
        <v>39</v>
      </c>
      <c r="E6" s="14">
        <v>8.0</v>
      </c>
      <c r="F6" s="11">
        <v>26.0</v>
      </c>
      <c r="G6" s="1" t="s">
        <v>40</v>
      </c>
      <c r="H6" s="1" t="s">
        <v>41</v>
      </c>
      <c r="I6" s="1">
        <v>1.0</v>
      </c>
      <c r="J6" s="12">
        <f t="shared" si="1"/>
        <v>1227</v>
      </c>
      <c r="K6" s="8" t="s">
        <v>31</v>
      </c>
      <c r="L6" s="12">
        <v>4090.0</v>
      </c>
      <c r="M6" s="12">
        <f t="shared" si="2"/>
        <v>5317</v>
      </c>
      <c r="N6" s="12">
        <v>4090.0</v>
      </c>
      <c r="O6" s="13">
        <v>0.0</v>
      </c>
      <c r="P6" s="9">
        <v>26.0</v>
      </c>
      <c r="Q6" s="1">
        <v>38.0</v>
      </c>
      <c r="R6" s="9">
        <f t="shared" si="3"/>
        <v>64</v>
      </c>
      <c r="S6" s="1"/>
      <c r="T6" s="1"/>
      <c r="U6" s="1"/>
      <c r="V6" s="1"/>
      <c r="W6" s="1"/>
      <c r="X6" s="1"/>
    </row>
    <row r="7" ht="30.0" customHeight="1">
      <c r="A7" s="1"/>
      <c r="B7" s="1" t="s">
        <v>42</v>
      </c>
      <c r="C7" s="1" t="s">
        <v>43</v>
      </c>
      <c r="D7" s="8" t="s">
        <v>44</v>
      </c>
      <c r="E7" s="14">
        <v>11.0</v>
      </c>
      <c r="F7" s="11">
        <v>48.0</v>
      </c>
      <c r="G7" s="1" t="s">
        <v>45</v>
      </c>
      <c r="H7" s="1" t="s">
        <v>46</v>
      </c>
      <c r="I7" s="1">
        <v>2.0</v>
      </c>
      <c r="J7" s="12">
        <f t="shared" si="1"/>
        <v>2664</v>
      </c>
      <c r="K7" s="8" t="s">
        <v>31</v>
      </c>
      <c r="L7" s="12">
        <v>8880.0</v>
      </c>
      <c r="M7" s="12">
        <f t="shared" si="2"/>
        <v>11544</v>
      </c>
      <c r="N7" s="12">
        <v>7880.0</v>
      </c>
      <c r="O7" s="13">
        <v>1000.0</v>
      </c>
      <c r="P7" s="9">
        <v>48.0</v>
      </c>
      <c r="Q7" s="1">
        <v>14.0</v>
      </c>
      <c r="R7" s="9">
        <f t="shared" si="3"/>
        <v>62</v>
      </c>
      <c r="S7" s="1"/>
      <c r="T7" s="1"/>
      <c r="U7" s="1"/>
      <c r="V7" s="1"/>
      <c r="W7" s="1"/>
      <c r="X7" s="1"/>
    </row>
    <row r="8" ht="15.0" customHeight="1">
      <c r="A8" s="1"/>
      <c r="B8" s="1" t="s">
        <v>47</v>
      </c>
      <c r="C8" s="1" t="s">
        <v>48</v>
      </c>
      <c r="D8" s="8" t="s">
        <v>49</v>
      </c>
      <c r="E8" s="10">
        <v>0.0</v>
      </c>
      <c r="F8" s="11">
        <v>54.0</v>
      </c>
      <c r="G8" s="1" t="s">
        <v>50</v>
      </c>
      <c r="H8" s="1" t="s">
        <v>51</v>
      </c>
      <c r="I8" s="1">
        <v>1.0</v>
      </c>
      <c r="J8" s="12">
        <v>500.0</v>
      </c>
      <c r="K8" s="1" t="s">
        <v>52</v>
      </c>
      <c r="L8" s="12">
        <v>0.0</v>
      </c>
      <c r="M8" s="12">
        <f t="shared" si="2"/>
        <v>500</v>
      </c>
      <c r="N8" s="12">
        <v>0.0</v>
      </c>
      <c r="O8" s="13">
        <v>0.0</v>
      </c>
      <c r="P8" s="9">
        <v>54.0</v>
      </c>
      <c r="Q8" s="1">
        <v>14.0</v>
      </c>
      <c r="R8" s="9">
        <f t="shared" si="3"/>
        <v>68</v>
      </c>
      <c r="S8" s="1"/>
      <c r="T8" s="1"/>
      <c r="U8" s="1"/>
      <c r="V8" s="1"/>
      <c r="W8" s="1"/>
      <c r="X8" s="1"/>
    </row>
    <row r="9" ht="30.0" customHeight="1">
      <c r="A9" s="1"/>
      <c r="B9" s="1" t="s">
        <v>53</v>
      </c>
      <c r="C9" s="1" t="s">
        <v>54</v>
      </c>
      <c r="D9" s="8" t="s">
        <v>55</v>
      </c>
      <c r="E9" s="14">
        <v>10.0</v>
      </c>
      <c r="F9" s="11">
        <v>31.0</v>
      </c>
      <c r="G9" s="1" t="s">
        <v>56</v>
      </c>
      <c r="H9" s="15" t="s">
        <v>57</v>
      </c>
      <c r="I9" s="1">
        <v>2.0</v>
      </c>
      <c r="J9" s="12">
        <f t="shared" ref="J9:J11" si="4">0.3*L9</f>
        <v>2169.3</v>
      </c>
      <c r="K9" s="8" t="s">
        <v>31</v>
      </c>
      <c r="L9" s="12">
        <v>7231.0</v>
      </c>
      <c r="M9" s="12">
        <f t="shared" si="2"/>
        <v>9400.3</v>
      </c>
      <c r="N9" s="12">
        <v>7231.0</v>
      </c>
      <c r="O9" s="13">
        <v>0.0</v>
      </c>
      <c r="P9" s="9">
        <v>31.0</v>
      </c>
      <c r="Q9" s="1">
        <v>35.0</v>
      </c>
      <c r="R9" s="9">
        <f t="shared" si="3"/>
        <v>66</v>
      </c>
      <c r="S9" s="1"/>
      <c r="T9" s="1"/>
      <c r="U9" s="1"/>
      <c r="V9" s="1"/>
      <c r="W9" s="1"/>
      <c r="X9" s="1"/>
    </row>
    <row r="10" ht="30.0" customHeight="1">
      <c r="A10" s="1"/>
      <c r="B10" s="1" t="s">
        <v>58</v>
      </c>
      <c r="C10" s="1" t="s">
        <v>59</v>
      </c>
      <c r="D10" s="8" t="s">
        <v>60</v>
      </c>
      <c r="E10" s="14">
        <v>12.0</v>
      </c>
      <c r="F10" s="11">
        <v>40.0</v>
      </c>
      <c r="G10" s="1" t="s">
        <v>61</v>
      </c>
      <c r="H10" s="1" t="s">
        <v>62</v>
      </c>
      <c r="I10" s="1">
        <v>2.0</v>
      </c>
      <c r="J10" s="12">
        <f t="shared" si="4"/>
        <v>3056.7</v>
      </c>
      <c r="K10" s="8" t="s">
        <v>31</v>
      </c>
      <c r="L10" s="12">
        <v>10189.0</v>
      </c>
      <c r="M10" s="12">
        <f t="shared" si="2"/>
        <v>13245.7</v>
      </c>
      <c r="N10" s="12">
        <v>9189.0</v>
      </c>
      <c r="O10" s="13">
        <v>1000.0</v>
      </c>
      <c r="P10" s="9">
        <v>40.0</v>
      </c>
      <c r="Q10" s="1">
        <v>25.0</v>
      </c>
      <c r="R10" s="9">
        <f t="shared" si="3"/>
        <v>65</v>
      </c>
      <c r="S10" s="1"/>
      <c r="T10" s="1"/>
      <c r="U10" s="1"/>
      <c r="V10" s="1"/>
      <c r="W10" s="1"/>
      <c r="X10" s="1"/>
    </row>
    <row r="11" ht="30.0" customHeight="1">
      <c r="A11" s="1"/>
      <c r="B11" s="1" t="s">
        <v>63</v>
      </c>
      <c r="C11" s="1" t="s">
        <v>64</v>
      </c>
      <c r="D11" s="8" t="s">
        <v>65</v>
      </c>
      <c r="E11" s="14">
        <v>36.0</v>
      </c>
      <c r="F11" s="11">
        <v>59.0</v>
      </c>
      <c r="G11" s="1" t="s">
        <v>66</v>
      </c>
      <c r="H11" s="1" t="s">
        <v>67</v>
      </c>
      <c r="I11" s="1">
        <v>2.0</v>
      </c>
      <c r="J11" s="12">
        <f t="shared" si="4"/>
        <v>9543</v>
      </c>
      <c r="K11" s="8" t="s">
        <v>68</v>
      </c>
      <c r="L11" s="12">
        <v>31810.0</v>
      </c>
      <c r="M11" s="12">
        <f t="shared" si="2"/>
        <v>41353</v>
      </c>
      <c r="N11" s="12">
        <v>30810.0</v>
      </c>
      <c r="O11" s="13">
        <v>1000.0</v>
      </c>
      <c r="P11" s="9">
        <v>59.0</v>
      </c>
      <c r="Q11" s="1">
        <v>20.0</v>
      </c>
      <c r="R11" s="9">
        <f t="shared" si="3"/>
        <v>79</v>
      </c>
      <c r="S11" s="1"/>
      <c r="T11" s="1"/>
      <c r="U11" s="1"/>
      <c r="V11" s="1"/>
      <c r="W11" s="1"/>
      <c r="X11" s="1"/>
    </row>
    <row r="12" ht="30.0" customHeight="1">
      <c r="A12" s="1"/>
      <c r="B12" s="1" t="s">
        <v>69</v>
      </c>
      <c r="C12" s="1" t="s">
        <v>70</v>
      </c>
      <c r="D12" s="8" t="s">
        <v>55</v>
      </c>
      <c r="E12" s="16" t="s">
        <v>71</v>
      </c>
      <c r="F12" s="11">
        <v>34.0</v>
      </c>
      <c r="G12" s="1" t="s">
        <v>72</v>
      </c>
      <c r="H12" s="17" t="s">
        <v>73</v>
      </c>
      <c r="I12" s="1">
        <v>5.0</v>
      </c>
      <c r="J12" s="12">
        <f t="shared" ref="J12:J15" si="5">L12*0.6</f>
        <v>4612.8</v>
      </c>
      <c r="K12" s="8" t="s">
        <v>74</v>
      </c>
      <c r="L12" s="12">
        <v>7688.0</v>
      </c>
      <c r="M12" s="12">
        <f t="shared" si="2"/>
        <v>12300.8</v>
      </c>
      <c r="N12" s="12">
        <v>6688.0</v>
      </c>
      <c r="O12" s="13">
        <v>1000.0</v>
      </c>
      <c r="P12" s="9">
        <v>34.0</v>
      </c>
      <c r="Q12" s="1">
        <v>21.0</v>
      </c>
      <c r="R12" s="9">
        <f t="shared" si="3"/>
        <v>55</v>
      </c>
      <c r="S12" s="1"/>
      <c r="T12" s="1"/>
      <c r="U12" s="1"/>
      <c r="V12" s="1"/>
      <c r="W12" s="1"/>
      <c r="X12" s="1"/>
    </row>
    <row r="13" ht="30.0" customHeight="1">
      <c r="A13" s="1"/>
      <c r="B13" s="1" t="s">
        <v>75</v>
      </c>
      <c r="C13" s="1" t="s">
        <v>76</v>
      </c>
      <c r="D13" s="8" t="s">
        <v>77</v>
      </c>
      <c r="E13" s="16" t="s">
        <v>78</v>
      </c>
      <c r="F13" s="11">
        <v>32.0</v>
      </c>
      <c r="G13" s="1" t="s">
        <v>79</v>
      </c>
      <c r="H13" s="1" t="s">
        <v>80</v>
      </c>
      <c r="I13" s="1">
        <v>3.0</v>
      </c>
      <c r="J13" s="12">
        <f t="shared" si="5"/>
        <v>5976</v>
      </c>
      <c r="K13" s="8" t="s">
        <v>74</v>
      </c>
      <c r="L13" s="12">
        <v>9960.0</v>
      </c>
      <c r="M13" s="12">
        <f t="shared" si="2"/>
        <v>15936</v>
      </c>
      <c r="N13" s="12">
        <v>8960.0</v>
      </c>
      <c r="O13" s="13">
        <v>1000.0</v>
      </c>
      <c r="P13" s="9">
        <v>32.0</v>
      </c>
      <c r="Q13" s="1">
        <v>28.0</v>
      </c>
      <c r="R13" s="9">
        <f t="shared" si="3"/>
        <v>60</v>
      </c>
      <c r="S13" s="1"/>
      <c r="T13" s="1"/>
      <c r="U13" s="1"/>
      <c r="V13" s="1"/>
      <c r="W13" s="1"/>
      <c r="X13" s="1"/>
    </row>
    <row r="14" ht="30.0" customHeight="1">
      <c r="A14" s="1"/>
      <c r="B14" s="1" t="s">
        <v>75</v>
      </c>
      <c r="C14" s="1" t="s">
        <v>81</v>
      </c>
      <c r="D14" s="8" t="s">
        <v>82</v>
      </c>
      <c r="E14" s="16" t="s">
        <v>83</v>
      </c>
      <c r="F14" s="11">
        <v>45.0</v>
      </c>
      <c r="G14" s="1" t="s">
        <v>84</v>
      </c>
      <c r="H14" s="1" t="s">
        <v>85</v>
      </c>
      <c r="I14" s="1">
        <v>5.0</v>
      </c>
      <c r="J14" s="12">
        <f t="shared" si="5"/>
        <v>6597.6</v>
      </c>
      <c r="K14" s="8" t="s">
        <v>74</v>
      </c>
      <c r="L14" s="12">
        <v>10996.0</v>
      </c>
      <c r="M14" s="12">
        <f t="shared" si="2"/>
        <v>17593.6</v>
      </c>
      <c r="N14" s="12">
        <v>9996.0</v>
      </c>
      <c r="O14" s="13">
        <v>1000.0</v>
      </c>
      <c r="P14" s="9">
        <v>45.0</v>
      </c>
      <c r="Q14" s="1">
        <v>16.0</v>
      </c>
      <c r="R14" s="9">
        <f t="shared" si="3"/>
        <v>61</v>
      </c>
      <c r="S14" s="1"/>
      <c r="T14" s="1"/>
      <c r="U14" s="1"/>
      <c r="V14" s="1"/>
      <c r="W14" s="1"/>
      <c r="X14" s="1"/>
    </row>
    <row r="15" ht="30.0" customHeight="1">
      <c r="A15" s="1"/>
      <c r="B15" s="1" t="s">
        <v>75</v>
      </c>
      <c r="C15" s="1" t="s">
        <v>86</v>
      </c>
      <c r="D15" s="8" t="s">
        <v>87</v>
      </c>
      <c r="E15" s="18" t="s">
        <v>83</v>
      </c>
      <c r="F15" s="11">
        <v>46.0</v>
      </c>
      <c r="G15" s="1" t="s">
        <v>88</v>
      </c>
      <c r="H15" s="1" t="s">
        <v>89</v>
      </c>
      <c r="I15" s="1">
        <v>3.0</v>
      </c>
      <c r="J15" s="12">
        <f t="shared" si="5"/>
        <v>6379.2</v>
      </c>
      <c r="K15" s="8" t="s">
        <v>74</v>
      </c>
      <c r="L15" s="12">
        <v>10632.0</v>
      </c>
      <c r="M15" s="12">
        <f t="shared" si="2"/>
        <v>17011.2</v>
      </c>
      <c r="N15" s="12">
        <v>9632.0</v>
      </c>
      <c r="O15" s="13">
        <v>1000.0</v>
      </c>
      <c r="P15" s="9">
        <v>46.0</v>
      </c>
      <c r="Q15" s="1">
        <v>20.0</v>
      </c>
      <c r="R15" s="9">
        <f t="shared" si="3"/>
        <v>66</v>
      </c>
      <c r="S15" s="1"/>
      <c r="T15" s="1"/>
      <c r="U15" s="1"/>
      <c r="V15" s="1"/>
      <c r="W15" s="1"/>
      <c r="X15" s="1"/>
    </row>
    <row r="16" ht="46.5" customHeight="1">
      <c r="A16" s="1"/>
      <c r="B16" s="1" t="s">
        <v>90</v>
      </c>
      <c r="C16" s="1"/>
      <c r="D16" s="8" t="s">
        <v>91</v>
      </c>
      <c r="E16" s="8"/>
      <c r="F16" s="1"/>
      <c r="G16" s="1" t="s">
        <v>92</v>
      </c>
      <c r="H16" s="1"/>
      <c r="I16" s="1"/>
      <c r="J16" s="12">
        <v>8000.0</v>
      </c>
      <c r="K16" s="8" t="s">
        <v>93</v>
      </c>
      <c r="L16" s="12">
        <v>6000.0</v>
      </c>
      <c r="M16" s="12">
        <f t="shared" si="2"/>
        <v>14000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 t="s">
        <v>94</v>
      </c>
      <c r="C17" s="1"/>
      <c r="D17" s="8" t="s">
        <v>95</v>
      </c>
      <c r="E17" s="8"/>
      <c r="F17" s="8"/>
      <c r="G17" s="1" t="s">
        <v>96</v>
      </c>
      <c r="H17" s="1"/>
      <c r="I17" s="1"/>
      <c r="J17" s="12">
        <v>0.0</v>
      </c>
      <c r="K17" s="1"/>
      <c r="L17" s="12">
        <v>22000.0</v>
      </c>
      <c r="M17" s="12">
        <f t="shared" si="2"/>
        <v>22000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 t="s">
        <v>97</v>
      </c>
      <c r="C18" s="1"/>
      <c r="D18" s="8" t="s">
        <v>95</v>
      </c>
      <c r="E18" s="8"/>
      <c r="F18" s="8"/>
      <c r="G18" s="1" t="s">
        <v>92</v>
      </c>
      <c r="H18" s="1"/>
      <c r="I18" s="1"/>
      <c r="J18" s="12">
        <v>0.0</v>
      </c>
      <c r="K18" s="1"/>
      <c r="L18" s="12">
        <v>2000.0</v>
      </c>
      <c r="M18" s="12">
        <f t="shared" si="2"/>
        <v>2000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9"/>
      <c r="B19" s="19" t="s">
        <v>98</v>
      </c>
      <c r="C19" s="19"/>
      <c r="D19" s="19" t="s">
        <v>95</v>
      </c>
      <c r="E19" s="19"/>
      <c r="F19" s="19"/>
      <c r="G19" s="19" t="s">
        <v>92</v>
      </c>
      <c r="H19" s="19"/>
      <c r="I19" s="19"/>
      <c r="J19" s="20">
        <v>0.0</v>
      </c>
      <c r="K19" s="19"/>
      <c r="L19" s="20">
        <v>2500.0</v>
      </c>
      <c r="M19" s="20">
        <f t="shared" si="2"/>
        <v>2500</v>
      </c>
      <c r="N19" s="19"/>
      <c r="O19" s="19"/>
      <c r="P19" s="19"/>
      <c r="Q19" s="19"/>
      <c r="R19" s="19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8" t="s">
        <v>99</v>
      </c>
      <c r="H20" s="8"/>
      <c r="I20" s="8"/>
      <c r="J20" s="12">
        <f>+SUM(J3:J19)</f>
        <v>58150.8</v>
      </c>
      <c r="K20" s="1"/>
      <c r="L20" s="12">
        <f t="shared" ref="L20:M20" si="6">+SUM(L3:L19)</f>
        <v>166231</v>
      </c>
      <c r="M20" s="12">
        <f t="shared" si="6"/>
        <v>224381.8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 t="s">
        <v>100</v>
      </c>
      <c r="H21" s="1"/>
      <c r="I21" s="1"/>
      <c r="J21" s="21">
        <v>0.15</v>
      </c>
      <c r="K21" s="1"/>
      <c r="L21" s="21">
        <v>0.15</v>
      </c>
      <c r="M21" s="21">
        <v>0.15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8" t="s">
        <v>101</v>
      </c>
      <c r="H22" s="8"/>
      <c r="I22" s="8"/>
      <c r="J22" s="12">
        <f>+J20*(1+J21)</f>
        <v>66873.42</v>
      </c>
      <c r="K22" s="1"/>
      <c r="L22" s="3">
        <f t="shared" ref="L22:M22" si="7">+L20*(1+L21)</f>
        <v>191165.65</v>
      </c>
      <c r="M22" s="3">
        <f t="shared" si="7"/>
        <v>258039.07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hyperlinks>
    <hyperlink r:id="rId1" location="gid=1395089157" ref="D1"/>
    <hyperlink r:id="rId2" ref="F1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2023-02-09T10:38:26Z</dcterms:created>
  <dc:creator>Ralph Stübner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  <property fmtid="{D5CDD505-2E9C-101B-9397-08002B2CF9AE}" pid="3" name="MediaServiceImageTags">
    <vt:lpwstr/>
  </property>
</Properties>
</file>