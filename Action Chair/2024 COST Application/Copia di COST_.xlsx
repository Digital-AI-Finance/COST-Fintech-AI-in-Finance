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ression of Interest" sheetId="1" r:id="rId4"/>
    <sheet state="visible" name="DataBase" sheetId="2" r:id="rId5"/>
    <sheet state="visible" name="Global Statistics" sheetId="3" r:id="rId6"/>
    <sheet state="visible" name="Accepted Statistics" sheetId="4" r:id="rId7"/>
    <sheet state="visible" name="Contact list" sheetId="5" r:id="rId8"/>
  </sheets>
  <definedNames>
    <definedName hidden="1" localSheetId="0" name="_xlnm._FilterDatabase">'Expression of Interest'!$B$499:$AB$500</definedName>
    <definedName hidden="1" localSheetId="0" name="Z_48A5A79D_82BC_4A9B_8F20_07831542ACC3_.wvu.FilterData">'Expression of Interest'!$C$500:$AB$500</definedName>
  </definedNames>
  <calcPr/>
  <customWorkbookViews>
    <customWorkbookView activeSheetId="0" maximized="1" windowHeight="0" windowWidth="0" guid="{48A5A79D-82BC-4A9B-8F20-07831542ACC3}" name="Filtered"/>
  </customWorkbookViews>
</workbook>
</file>

<file path=xl/sharedStrings.xml><?xml version="1.0" encoding="utf-8"?>
<sst xmlns="http://schemas.openxmlformats.org/spreadsheetml/2006/main" count="253" uniqueCount="146">
  <si>
    <t xml:space="preserve">As given in your e-COST profile </t>
  </si>
  <si>
    <t>Please indicate one secondary proposer per country</t>
  </si>
  <si>
    <t>Country</t>
  </si>
  <si>
    <t>Only name with clean formatting (no department or further precision). Please update your COST profile accordingly. Max 40 Characters</t>
  </si>
  <si>
    <t>Young Researcher</t>
  </si>
  <si>
    <t>Yes/No (as per your e-COST profile)</t>
  </si>
  <si>
    <t>Estimate the number of FTEs involved in research activities related to Sustainable Digital Transformation</t>
  </si>
  <si>
    <t>(If selected "Other", please precise in "Details" column)</t>
  </si>
  <si>
    <t>Add more details about your research field/experience if needed</t>
  </si>
  <si>
    <r>
      <rPr>
        <rFont val="Arial"/>
      </rPr>
      <t xml:space="preserve">List of NNC: </t>
    </r>
    <r>
      <rPr>
        <rFont val="Arial"/>
        <color rgb="FF1155CC"/>
        <u/>
      </rPr>
      <t>Link</t>
    </r>
  </si>
  <si>
    <r>
      <rPr>
        <rFont val="Arial"/>
      </rPr>
      <t xml:space="preserve">List of European RTD Organizations (p.5 - Section 2): </t>
    </r>
    <r>
      <rPr>
        <rFont val="Arial"/>
        <color rgb="FF1155CC"/>
        <u/>
      </rPr>
      <t>Link</t>
    </r>
  </si>
  <si>
    <t>As per your e-COST profile</t>
  </si>
  <si>
    <t>(3 to 5 short bullet points, clean formatting)
CMD/CTRL+Enter to enter a line break in a cell</t>
  </si>
  <si>
    <t>yes, no. if yes, shortly indicate your potential contribution</t>
  </si>
  <si>
    <t>yes/no. If yes, indicate who</t>
  </si>
  <si>
    <t>All columns mandatory</t>
  </si>
  <si>
    <t>leave empty. to be filled in by the core team</t>
  </si>
  <si>
    <t>Title*</t>
  </si>
  <si>
    <t xml:space="preserve">Nr. </t>
  </si>
  <si>
    <t>First Name*</t>
  </si>
  <si>
    <t>Last Name*</t>
  </si>
  <si>
    <t>Email*</t>
  </si>
  <si>
    <t>Secondary Proposer</t>
  </si>
  <si>
    <t>Gender*</t>
  </si>
  <si>
    <t>Country*</t>
  </si>
  <si>
    <t>University or Company Name*</t>
  </si>
  <si>
    <t>Age below 40*</t>
  </si>
  <si>
    <t>Industry</t>
  </si>
  <si>
    <t>If Industry, how many FTEs?</t>
  </si>
  <si>
    <t>Research field*</t>
  </si>
  <si>
    <t>Details</t>
  </si>
  <si>
    <t>Near Neighbour Country (yes/no)* (not EU, not COST country)</t>
  </si>
  <si>
    <t xml:space="preserve">Are you an International Partner Country (yes/no)* (i.e. outside Europe) </t>
  </si>
  <si>
    <t>Are you an European RTD Organisation (yes/no)*</t>
  </si>
  <si>
    <t>EU Institutions, Bodies, Offices and Agencies (EC/EU) (yes/no)</t>
  </si>
  <si>
    <t>International Organisation (yes/no)</t>
  </si>
  <si>
    <t>What benefits does the current COST action bring to your University?*</t>
  </si>
  <si>
    <t>What are your expectations of this new COST action?*</t>
  </si>
  <si>
    <t>Do you want to be part of the core team writing the application?</t>
  </si>
  <si>
    <t>Would you be available to help find additional researchers, government representatives and industry participants from your country and across Europe?</t>
  </si>
  <si>
    <t>All columns filled in? (All columns are mandatory)</t>
  </si>
  <si>
    <t>Selected for portal</t>
  </si>
  <si>
    <t>Invited to portal</t>
  </si>
  <si>
    <t>Accepted invite</t>
  </si>
  <si>
    <t>Notes</t>
  </si>
  <si>
    <t>Cost Countries</t>
  </si>
  <si>
    <t>ITCs</t>
  </si>
  <si>
    <t>Albania</t>
  </si>
  <si>
    <t>Armenia</t>
  </si>
  <si>
    <t>Austria</t>
  </si>
  <si>
    <t>Bosnia and Herzegovina</t>
  </si>
  <si>
    <t>Belgium</t>
  </si>
  <si>
    <t>Bulgaria</t>
  </si>
  <si>
    <t>Croatia</t>
  </si>
  <si>
    <t>Cyprus</t>
  </si>
  <si>
    <t>Czech Rupublic</t>
  </si>
  <si>
    <t>Estonia</t>
  </si>
  <si>
    <t>Czech Republic</t>
  </si>
  <si>
    <t>Georgia</t>
  </si>
  <si>
    <t>Denmark</t>
  </si>
  <si>
    <t>Greece</t>
  </si>
  <si>
    <t>Hungary</t>
  </si>
  <si>
    <t>Finland</t>
  </si>
  <si>
    <t>Lithuania</t>
  </si>
  <si>
    <t>France</t>
  </si>
  <si>
    <t>Latvia</t>
  </si>
  <si>
    <t>Malta</t>
  </si>
  <si>
    <t>Germany</t>
  </si>
  <si>
    <t>The Republic of Moldova</t>
  </si>
  <si>
    <t>Montenegro</t>
  </si>
  <si>
    <t>Poland</t>
  </si>
  <si>
    <t>Iceland</t>
  </si>
  <si>
    <t>Portugal</t>
  </si>
  <si>
    <t>Ireland</t>
  </si>
  <si>
    <t>Romania</t>
  </si>
  <si>
    <t>Italy</t>
  </si>
  <si>
    <t>Slovenia</t>
  </si>
  <si>
    <t>Slovakia</t>
  </si>
  <si>
    <t>The Republic of North Macedonia</t>
  </si>
  <si>
    <t>Luxembourg</t>
  </si>
  <si>
    <t>Serbia</t>
  </si>
  <si>
    <t>Türkiye</t>
  </si>
  <si>
    <t>Ukraine</t>
  </si>
  <si>
    <t>The Netherlands</t>
  </si>
  <si>
    <t>Norway</t>
  </si>
  <si>
    <t>Spain</t>
  </si>
  <si>
    <t>Sweden</t>
  </si>
  <si>
    <t>Switzerland</t>
  </si>
  <si>
    <t>United Kingdom</t>
  </si>
  <si>
    <t># Required</t>
  </si>
  <si>
    <t>ITC</t>
  </si>
  <si>
    <t>Total number of applicants</t>
  </si>
  <si>
    <t>Gender balance (Percentage F)</t>
  </si>
  <si>
    <t>Young researchers (Percentage YR)</t>
  </si>
  <si>
    <t>From industry (Percent Yes)</t>
  </si>
  <si>
    <t>Fields per country</t>
  </si>
  <si>
    <t>Secondary Proposer indicated</t>
  </si>
  <si>
    <t>Remarks</t>
  </si>
  <si>
    <t>Research field</t>
  </si>
  <si>
    <t>Count</t>
  </si>
  <si>
    <t>Percentage</t>
  </si>
  <si>
    <t>COST countries without applicants</t>
  </si>
  <si>
    <t>Date for next action</t>
  </si>
  <si>
    <t>Only 1 uni</t>
  </si>
  <si>
    <t>Completed</t>
  </si>
  <si>
    <t>4 from industry</t>
  </si>
  <si>
    <t>Action needed</t>
  </si>
  <si>
    <t>No action currently needed</t>
  </si>
  <si>
    <t>Would be nice to include Luis but we cannot get the macros right if we do that</t>
  </si>
  <si>
    <t>Very scattered accross institutions</t>
  </si>
  <si>
    <t>Only one person from oxford, need one more from industry</t>
  </si>
  <si>
    <t>3 unis</t>
  </si>
  <si>
    <t>Deadline 24th</t>
  </si>
  <si>
    <t>Kosovo</t>
  </si>
  <si>
    <t>5 from 1 uni, otherwise we cannot get the macros right</t>
  </si>
  <si>
    <t>Martin will try</t>
  </si>
  <si>
    <t>Invite to portal</t>
  </si>
  <si>
    <t>NA</t>
  </si>
  <si>
    <t>Ask joerg</t>
  </si>
  <si>
    <t>Petr and David are both working on this</t>
  </si>
  <si>
    <t>Send email to new researcher for missing</t>
  </si>
  <si>
    <t>Israel</t>
  </si>
  <si>
    <t>South Africa</t>
  </si>
  <si>
    <t>Vietnam</t>
  </si>
  <si>
    <t>Industry and fields lacking, is this a problem?</t>
  </si>
  <si>
    <t>Dead end ,fine</t>
  </si>
  <si>
    <t>Sent reminder no5 at 4.10 with specific requirements</t>
  </si>
  <si>
    <t>South Korea</t>
  </si>
  <si>
    <t>Send email to new researchers for missing</t>
  </si>
  <si>
    <t>USA</t>
  </si>
  <si>
    <t>No response yet, deadline of 8.10 to respond, else remove</t>
  </si>
  <si>
    <t>Countries added but not in this list</t>
  </si>
  <si>
    <t>Send email to the 2 new researchers</t>
  </si>
  <si>
    <t>UAE</t>
  </si>
  <si>
    <t>China</t>
  </si>
  <si>
    <t>Checked in with Kristijan, no response</t>
  </si>
  <si>
    <t>Received new call to action at 8.10, no response</t>
  </si>
  <si>
    <t>Reminded Dolores at 4.10</t>
  </si>
  <si>
    <t>Sabine cannot help us with composing the network in Lux</t>
  </si>
  <si>
    <t>Checked in with Neli at 4.10</t>
  </si>
  <si>
    <t xml:space="preserve">Only in need of industry. </t>
  </si>
  <si>
    <t>Checked in with all researchers at 4.10</t>
  </si>
  <si>
    <t>India</t>
  </si>
  <si>
    <t>Added today, send welcome mail with call to action</t>
  </si>
  <si>
    <t xml:space="preserve">South Africa </t>
  </si>
  <si>
    <t>Full Network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</si>
</sst>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dd&quot;.&quot;mm&quot;.&quot;yy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Arial"/>
      <scheme val="minor"/>
    </font>
    <font>
      <sz val="10.0"/>
      <color rgb="FF242424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00"/>
      <name val="Arial"/>
    </font>
    <font>
      <sz val="11.0"/>
      <color rgb="FF000000"/>
      <name val="&quot;Nunito Sans&quot;"/>
    </font>
    <font>
      <color rgb="FF000000"/>
      <name val="&quot;Arial&quot;"/>
    </font>
    <font>
      <color rgb="FF000000"/>
      <name val="Arial"/>
      <scheme val="minor"/>
    </font>
    <font>
      <sz val="11.0"/>
      <color rgb="FF000000"/>
      <name val="Arial"/>
    </font>
    <font>
      <sz val="10.0"/>
      <color rgb="FF1F1F1F"/>
      <name val="Arial"/>
      <scheme val="minor"/>
    </font>
    <font>
      <sz val="9.0"/>
      <color rgb="FF1F1F1F"/>
      <name val="&quot;Google Sans&quot;"/>
    </font>
    <font>
      <sz val="11.0"/>
      <color rgb="FF222222"/>
      <name val="Raleway"/>
    </font>
    <font>
      <sz val="12.0"/>
      <color rgb="FF093030"/>
      <name val="Raleway"/>
    </font>
    <font>
      <sz val="10.0"/>
      <color theme="1"/>
      <name val="Arial"/>
      <scheme val="minor"/>
    </font>
    <font>
      <color rgb="FF500050"/>
      <name val="Arial"/>
      <scheme val="minor"/>
    </font>
    <font>
      <sz val="11.0"/>
      <color theme="1"/>
      <name val="Calibri"/>
    </font>
    <font>
      <sz val="12.0"/>
      <color theme="1"/>
      <name val="Arial"/>
      <scheme val="minor"/>
    </font>
    <font>
      <u/>
      <sz val="12.0"/>
      <color rgb="FF222222"/>
      <name val="Garamond"/>
    </font>
    <font>
      <color rgb="FFFF0000"/>
      <name val="Arial"/>
      <scheme val="minor"/>
    </font>
    <font>
      <u/>
      <sz val="10.0"/>
      <color rgb="FF000000"/>
      <name val="Arial"/>
      <scheme val="minor"/>
    </font>
    <font>
      <sz val="9.0"/>
      <color rgb="FF1F1F1F"/>
      <name val="Arial"/>
      <scheme val="minor"/>
    </font>
    <font>
      <sz val="11.0"/>
      <color rgb="FF222222"/>
      <name val="&quot;Google Sans&quot;"/>
    </font>
    <font>
      <u/>
      <color rgb="FF0000FF"/>
      <name val="Verdana"/>
    </font>
    <font>
      <color rgb="FF000000"/>
      <name val="&quot;Google Sans&quot;"/>
    </font>
    <font>
      <sz val="11.0"/>
      <color theme="1"/>
      <name val="Aptos"/>
    </font>
    <font>
      <sz val="12.0"/>
      <color rgb="FF000000"/>
      <name val="Aptos"/>
    </font>
    <font>
      <color rgb="FF666666"/>
      <name val="Effra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b/>
      <color rgb="FF666666"/>
      <name val="Arial"/>
    </font>
    <font>
      <sz val="9.0"/>
      <color rgb="FF000000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FCFC"/>
        <bgColor rgb="FFFCFCFC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shrinkToFit="0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wrapText="0"/>
    </xf>
    <xf borderId="0" fillId="0" fontId="1" numFmtId="0" xfId="0" applyAlignment="1" applyFont="1">
      <alignment horizontal="left" readingOrder="0" shrinkToFit="0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2" fontId="6" numFmtId="0" xfId="0" applyAlignment="1" applyFont="1">
      <alignment horizontal="left" readingOrder="0" shrinkToFit="0" vertical="center" wrapText="0"/>
    </xf>
    <xf borderId="0" fillId="2" fontId="4" numFmtId="0" xfId="0" applyAlignment="1" applyFont="1">
      <alignment horizontal="left" shrinkToFit="0" vertical="center" wrapText="0"/>
    </xf>
    <xf borderId="0" fillId="2" fontId="7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2" fontId="0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0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wrapText="0"/>
    </xf>
    <xf borderId="0" fillId="2" fontId="11" numFmtId="0" xfId="0" applyAlignment="1" applyFont="1">
      <alignment horizontal="left" readingOrder="0" shrinkToFit="0" vertical="center" wrapText="0"/>
    </xf>
    <xf borderId="0" fillId="2" fontId="12" numFmtId="0" xfId="0" applyAlignment="1" applyFont="1">
      <alignment horizontal="left" readingOrder="0" shrinkToFit="0" wrapText="0"/>
    </xf>
    <xf borderId="0" fillId="2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horizontal="left" readingOrder="0" shrinkToFit="0" vertical="center" wrapText="0"/>
    </xf>
    <xf borderId="0" fillId="2" fontId="10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left" readingOrder="0" shrinkToFit="0" wrapText="0"/>
    </xf>
    <xf borderId="0" fillId="2" fontId="4" numFmtId="0" xfId="0" applyAlignment="1" applyFont="1">
      <alignment horizontal="left" readingOrder="0" shrinkToFit="0" wrapText="0"/>
    </xf>
    <xf borderId="0" fillId="0" fontId="16" numFmtId="0" xfId="0" applyAlignment="1" applyFont="1">
      <alignment horizontal="left" readingOrder="0" shrinkToFit="0" wrapText="0"/>
    </xf>
    <xf borderId="0" fillId="0" fontId="17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horizontal="left" readingOrder="0" shrinkToFit="0" wrapText="0"/>
    </xf>
    <xf borderId="0" fillId="2" fontId="1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wrapText="0"/>
    </xf>
    <xf borderId="0" fillId="0" fontId="12" numFmtId="0" xfId="0" applyAlignment="1" applyFont="1">
      <alignment horizontal="left" readingOrder="0" shrinkToFit="0" wrapText="0"/>
    </xf>
    <xf borderId="0" fillId="2" fontId="19" numFmtId="0" xfId="0" applyAlignment="1" applyFont="1">
      <alignment horizontal="left" readingOrder="0" shrinkToFit="0" wrapText="0"/>
    </xf>
    <xf borderId="0" fillId="3" fontId="1" numFmtId="0" xfId="0" applyAlignment="1" applyFill="1" applyFont="1">
      <alignment horizontal="left" readingOrder="0" shrinkToFit="0" vertical="center" wrapText="0"/>
    </xf>
    <xf borderId="0" fillId="0" fontId="2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0" numFmtId="0" xfId="0" applyAlignment="1" applyFont="1">
      <alignment horizontal="left" readingOrder="0" shrinkToFit="0" wrapText="0"/>
    </xf>
    <xf borderId="0" fillId="0" fontId="0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horizontal="left" readingOrder="0" shrinkToFit="0" wrapText="0"/>
    </xf>
    <xf borderId="0" fillId="0" fontId="22" numFmtId="0" xfId="0" applyAlignment="1" applyFont="1">
      <alignment horizontal="left" readingOrder="0" shrinkToFit="0" wrapText="0"/>
    </xf>
    <xf borderId="0" fillId="2" fontId="23" numFmtId="0" xfId="0" applyAlignment="1" applyFont="1">
      <alignment horizontal="left" readingOrder="0" shrinkToFit="0" wrapText="0"/>
    </xf>
    <xf borderId="0" fillId="0" fontId="24" numFmtId="0" xfId="0" applyAlignment="1" applyFont="1">
      <alignment horizontal="left" readingOrder="0" shrinkToFit="0" wrapText="0"/>
    </xf>
    <xf borderId="0" fillId="2" fontId="25" numFmtId="0" xfId="0" applyAlignment="1" applyFill="1" applyFont="1">
      <alignment horizontal="left" readingOrder="0" shrinkToFit="0" wrapText="0"/>
    </xf>
    <xf borderId="0" fillId="0" fontId="15" numFmtId="0" xfId="0" applyAlignment="1" applyFont="1">
      <alignment horizontal="left" readingOrder="0" shrinkToFit="0" vertical="center" wrapText="0"/>
    </xf>
    <xf borderId="0" fillId="2" fontId="11" numFmtId="0" xfId="0" applyAlignment="1" applyFont="1">
      <alignment horizontal="left" readingOrder="0" shrinkToFit="0" wrapText="0"/>
    </xf>
    <xf borderId="0" fillId="0" fontId="26" numFmtId="0" xfId="0" applyAlignment="1" applyFont="1">
      <alignment horizontal="left" readingOrder="0" shrinkToFit="0" wrapText="0"/>
    </xf>
    <xf borderId="0" fillId="0" fontId="27" numFmtId="0" xfId="0" applyAlignment="1" applyFont="1">
      <alignment horizontal="left" readingOrder="0" shrinkToFit="0" wrapText="0"/>
    </xf>
    <xf borderId="0" fillId="2" fontId="6" numFmtId="0" xfId="0" applyAlignment="1" applyFont="1">
      <alignment horizontal="left" readingOrder="0" shrinkToFit="0" wrapText="0"/>
    </xf>
    <xf borderId="0" fillId="4" fontId="28" numFmtId="0" xfId="0" applyAlignment="1" applyFill="1" applyFont="1">
      <alignment horizontal="left" readingOrder="0" shrinkToFit="0" wrapText="0"/>
    </xf>
    <xf borderId="0" fillId="0" fontId="4" numFmtId="0" xfId="0" applyAlignment="1" applyFont="1">
      <alignment horizontal="left" shrinkToFit="0" wrapText="1"/>
    </xf>
    <xf borderId="0" fillId="0" fontId="29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4" numFmtId="0" xfId="0" applyAlignment="1" applyFont="1">
      <alignment horizontal="left" readingOrder="0" shrinkToFit="0" wrapText="1"/>
    </xf>
    <xf borderId="0" fillId="0" fontId="30" numFmtId="0" xfId="0" applyAlignment="1" applyFont="1">
      <alignment horizontal="left" shrinkToFit="0" wrapText="1"/>
    </xf>
    <xf borderId="0" fillId="0" fontId="31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vertical="center" wrapText="1"/>
    </xf>
    <xf borderId="0" fillId="0" fontId="29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32" numFmtId="0" xfId="0" applyAlignment="1" applyFont="1">
      <alignment horizontal="left" shrinkToFit="0" vertical="center" wrapText="1"/>
    </xf>
    <xf borderId="0" fillId="0" fontId="32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0" fillId="0" fontId="1" numFmtId="0" xfId="0" applyFont="1"/>
    <xf borderId="0" fillId="0" fontId="1" numFmtId="3" xfId="0" applyFont="1" applyNumberFormat="1"/>
    <xf borderId="0" fillId="0" fontId="1" numFmtId="10" xfId="0" applyFont="1" applyNumberFormat="1"/>
    <xf borderId="0" fillId="3" fontId="1" numFmtId="0" xfId="0" applyFont="1"/>
    <xf borderId="0" fillId="5" fontId="1" numFmtId="0" xfId="0" applyFill="1" applyFont="1"/>
    <xf borderId="2" fillId="0" fontId="1" numFmtId="0" xfId="0" applyBorder="1" applyFont="1"/>
    <xf borderId="2" fillId="0" fontId="1" numFmtId="164" xfId="0" applyBorder="1" applyFont="1" applyNumberFormat="1"/>
    <xf borderId="2" fillId="0" fontId="1" numFmtId="3" xfId="0" applyBorder="1" applyFont="1" applyNumberFormat="1"/>
    <xf borderId="0" fillId="0" fontId="1" numFmtId="165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1" numFmtId="165" xfId="0" applyFont="1" applyNumberFormat="1"/>
    <xf borderId="0" fillId="2" fontId="3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48A84F"/>
          <bgColor rgb="FF48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st.eu/about/strategy/international-collaboration/" TargetMode="External"/><Relationship Id="rId2" Type="http://schemas.openxmlformats.org/officeDocument/2006/relationships/hyperlink" Target="https://www.cost.eu/about/strategy/international-collaboration/" TargetMode="External"/><Relationship Id="rId3" Type="http://schemas.openxmlformats.org/officeDocument/2006/relationships/hyperlink" Target="https://www.cost.eu/uploads/2023/11/Annex-I-level-A-Country-and-Organisations-Table-Version-1.7.pdf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5.0" ySplit="500.0" topLeftCell="F501" activePane="bottomRight" state="frozen"/>
      <selection activeCell="F1" sqref="F1" pane="topRight"/>
      <selection activeCell="A501" sqref="A501" pane="bottomLeft"/>
      <selection activeCell="F501" sqref="F501" pane="bottomRight"/>
    </sheetView>
  </sheetViews>
  <sheetFormatPr customHeight="1" defaultColWidth="12.63" defaultRowHeight="15.75"/>
  <cols>
    <col customWidth="1" hidden="1" min="1" max="1" width="8.38"/>
    <col customWidth="1" min="3" max="3" width="12.13"/>
    <col customWidth="1" min="4" max="4" width="10.88"/>
    <col customWidth="1" min="5" max="5" width="35.38"/>
    <col customWidth="1" min="6" max="7" width="15.75"/>
    <col customWidth="1" min="8" max="23" width="23.75"/>
    <col customWidth="1" min="26" max="26" width="19.63"/>
    <col customWidth="1" min="27" max="27" width="19.38"/>
    <col customWidth="1" min="28" max="28" width="26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  <c r="U1" s="2"/>
      <c r="V1" s="2"/>
      <c r="W1" s="2"/>
      <c r="X1" s="2"/>
      <c r="Y1" s="2"/>
      <c r="Z1" s="2"/>
      <c r="AA1" s="2"/>
      <c r="AB1" s="1"/>
      <c r="AC1" s="1"/>
      <c r="AD1" s="1"/>
      <c r="AE1" s="1"/>
      <c r="AF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1"/>
      <c r="AC3" s="1"/>
      <c r="AD3" s="1"/>
      <c r="AE3" s="1"/>
      <c r="AF3" s="1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1"/>
      <c r="AD4" s="1"/>
      <c r="AE4" s="1"/>
      <c r="AF4" s="1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1"/>
      <c r="AC5" s="1"/>
      <c r="AD5" s="1"/>
      <c r="AE5" s="1"/>
      <c r="AF5" s="1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"/>
      <c r="T6" s="1"/>
      <c r="U6" s="1"/>
      <c r="V6" s="1"/>
      <c r="W6" s="1"/>
      <c r="X6" s="1"/>
      <c r="Y6" s="2"/>
      <c r="Z6" s="2"/>
      <c r="AA6" s="2"/>
      <c r="AB6" s="1"/>
      <c r="AC6" s="1"/>
      <c r="AD6" s="1"/>
      <c r="AE6" s="1"/>
      <c r="AF6" s="1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1"/>
      <c r="AC7" s="1"/>
      <c r="AD7" s="1"/>
      <c r="AE7" s="1"/>
      <c r="AF7" s="1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2"/>
      <c r="N8" s="2"/>
      <c r="O8" s="2"/>
      <c r="P8" s="2"/>
      <c r="Q8" s="2"/>
      <c r="R8" s="1"/>
      <c r="S8" s="1"/>
      <c r="T8" s="2"/>
      <c r="U8" s="2"/>
      <c r="V8" s="2"/>
      <c r="W8" s="2"/>
      <c r="X8" s="2"/>
      <c r="Y8" s="2"/>
      <c r="Z8" s="2"/>
      <c r="AA8" s="2"/>
      <c r="AB8" s="1"/>
      <c r="AC8" s="1"/>
      <c r="AD8" s="1"/>
      <c r="AE8" s="1"/>
      <c r="AF8" s="1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1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"/>
      <c r="Z9" s="2"/>
      <c r="AA9" s="2"/>
      <c r="AB9" s="1"/>
      <c r="AC9" s="1"/>
      <c r="AD9" s="1"/>
      <c r="AE9" s="1"/>
      <c r="AF9" s="1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"/>
      <c r="O10" s="1"/>
      <c r="P10" s="1"/>
      <c r="Q10" s="1"/>
      <c r="R10" s="1"/>
      <c r="S10" s="1"/>
      <c r="T10" s="2"/>
      <c r="U10" s="2"/>
      <c r="V10" s="1"/>
      <c r="W10" s="2"/>
      <c r="X10" s="1"/>
      <c r="Y10" s="2"/>
      <c r="Z10" s="2"/>
      <c r="AA10" s="2"/>
      <c r="AB10" s="1"/>
      <c r="AC10" s="1"/>
      <c r="AD10" s="1"/>
      <c r="AE10" s="1"/>
      <c r="AF10" s="1"/>
    </row>
    <row r="11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4"/>
      <c r="AC11" s="4"/>
      <c r="AD11" s="4"/>
      <c r="AE11" s="4"/>
      <c r="AF11" s="4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"/>
      <c r="O12" s="1"/>
      <c r="P12" s="2"/>
      <c r="Q12" s="2"/>
      <c r="R12" s="2"/>
      <c r="S12" s="1"/>
      <c r="T12" s="1"/>
      <c r="U12" s="1"/>
      <c r="V12" s="1"/>
      <c r="W12" s="1"/>
      <c r="X12" s="1"/>
      <c r="Y12" s="2"/>
      <c r="Z12" s="2"/>
      <c r="AA12" s="2"/>
      <c r="AB12" s="1"/>
      <c r="AC12" s="1"/>
      <c r="AD12" s="1"/>
      <c r="AE12" s="1"/>
      <c r="AF12" s="1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1"/>
      <c r="AC13" s="1"/>
      <c r="AD13" s="1"/>
      <c r="AE13" s="1"/>
      <c r="AF13" s="1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1"/>
      <c r="AC14" s="1"/>
      <c r="AD14" s="1"/>
      <c r="AE14" s="1"/>
      <c r="AF14" s="1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1"/>
      <c r="AC15" s="1"/>
      <c r="AD15" s="1"/>
      <c r="AE15" s="1"/>
      <c r="AF15" s="1"/>
    </row>
    <row r="16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4"/>
      <c r="AC16" s="4"/>
      <c r="AD16" s="4"/>
      <c r="AE16" s="4"/>
      <c r="AF16" s="4"/>
    </row>
    <row r="17">
      <c r="A17" s="1"/>
      <c r="B17" s="2"/>
      <c r="C17" s="2"/>
      <c r="D17" s="2"/>
      <c r="E17" s="2"/>
      <c r="F17" s="1"/>
      <c r="G17" s="2"/>
      <c r="H17" s="2"/>
      <c r="I17" s="2"/>
      <c r="J17" s="2"/>
      <c r="K17" s="2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1"/>
      <c r="AC17" s="1"/>
      <c r="AD17" s="1"/>
      <c r="AE17" s="1"/>
      <c r="AF17" s="1"/>
    </row>
    <row r="18">
      <c r="A18" s="1"/>
      <c r="B18" s="2"/>
      <c r="C18" s="2"/>
      <c r="D18" s="2"/>
      <c r="E18" s="2"/>
      <c r="F18" s="1"/>
      <c r="G18" s="2"/>
      <c r="H18" s="2"/>
      <c r="I18" s="2"/>
      <c r="J18" s="2"/>
      <c r="K18" s="2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1"/>
      <c r="AC18" s="1"/>
      <c r="AD18" s="1"/>
      <c r="AE18" s="1"/>
      <c r="AF18" s="1"/>
    </row>
    <row r="19">
      <c r="A19" s="1"/>
      <c r="B19" s="2"/>
      <c r="C19" s="2"/>
      <c r="D19" s="2"/>
      <c r="E19" s="4"/>
      <c r="F19" s="1"/>
      <c r="G19" s="2"/>
      <c r="H19" s="2"/>
      <c r="I19" s="2"/>
      <c r="J19" s="2"/>
      <c r="K19" s="2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1"/>
      <c r="AC19" s="1"/>
      <c r="AD19" s="1"/>
      <c r="AE19" s="1"/>
      <c r="AF19" s="1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1"/>
      <c r="M20" s="2"/>
      <c r="N20" s="2"/>
      <c r="O20" s="2"/>
      <c r="P20" s="2"/>
      <c r="Q20" s="1"/>
      <c r="R20" s="1"/>
      <c r="S20" s="1"/>
      <c r="T20" s="2"/>
      <c r="U20" s="2"/>
      <c r="V20" s="1"/>
      <c r="W20" s="1"/>
      <c r="X20" s="1"/>
      <c r="Y20" s="2"/>
      <c r="Z20" s="2"/>
      <c r="AA20" s="2"/>
      <c r="AB20" s="1"/>
      <c r="AC20" s="1"/>
      <c r="AD20" s="1"/>
      <c r="AE20" s="1"/>
      <c r="AF20" s="1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1"/>
      <c r="V21" s="1"/>
      <c r="W21" s="1"/>
      <c r="X21" s="1"/>
      <c r="Y21" s="2"/>
      <c r="Z21" s="2"/>
      <c r="AA21" s="2"/>
      <c r="AB21" s="1"/>
      <c r="AC21" s="1"/>
      <c r="AD21" s="1"/>
      <c r="AE21" s="1"/>
      <c r="AF21" s="1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1"/>
      <c r="X22" s="1"/>
      <c r="Y22" s="2"/>
      <c r="Z22" s="2"/>
      <c r="AA22" s="2"/>
      <c r="AB22" s="1"/>
      <c r="AC22" s="1"/>
      <c r="AD22" s="1"/>
      <c r="AE22" s="1"/>
      <c r="AF22" s="1"/>
    </row>
    <row r="23">
      <c r="A23" s="1"/>
      <c r="B23" s="2"/>
      <c r="C23" s="2"/>
      <c r="D23" s="5"/>
      <c r="E23" s="2"/>
      <c r="F23" s="2"/>
      <c r="G23" s="2"/>
      <c r="H23" s="2"/>
      <c r="I23" s="2"/>
      <c r="J23" s="2"/>
      <c r="K23" s="2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1"/>
      <c r="X23" s="1"/>
      <c r="Y23" s="2"/>
      <c r="Z23" s="2"/>
      <c r="AA23" s="2"/>
      <c r="AB23" s="1"/>
      <c r="AC23" s="1"/>
      <c r="AD23" s="1"/>
      <c r="AE23" s="1"/>
      <c r="AF23" s="1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1"/>
      <c r="V24" s="1"/>
      <c r="W24" s="2"/>
      <c r="X24" s="1"/>
      <c r="Y24" s="2"/>
      <c r="Z24" s="2"/>
      <c r="AA24" s="2"/>
      <c r="AB24" s="1"/>
      <c r="AC24" s="1"/>
      <c r="AD24" s="1"/>
      <c r="AE24" s="1"/>
      <c r="AF24" s="1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1"/>
      <c r="M25" s="2"/>
      <c r="N25" s="2"/>
      <c r="O25" s="2"/>
      <c r="P25" s="2"/>
      <c r="Q25" s="2"/>
      <c r="R25" s="2"/>
      <c r="S25" s="2"/>
      <c r="T25" s="2"/>
      <c r="U25" s="1"/>
      <c r="V25" s="1"/>
      <c r="W25" s="1"/>
      <c r="X25" s="1"/>
      <c r="Y25" s="2"/>
      <c r="Z25" s="2"/>
      <c r="AA25" s="2"/>
      <c r="AB25" s="6"/>
      <c r="AC25" s="6"/>
      <c r="AD25" s="6"/>
      <c r="AE25" s="6"/>
      <c r="AF25" s="6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1"/>
      <c r="AC26" s="1"/>
      <c r="AD26" s="1"/>
      <c r="AE26" s="1"/>
      <c r="AF26" s="1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1"/>
      <c r="AC27" s="1"/>
      <c r="AD27" s="1"/>
      <c r="AE27" s="1"/>
      <c r="AF27" s="1"/>
    </row>
    <row r="28">
      <c r="A28" s="2"/>
      <c r="B28" s="2"/>
      <c r="C28" s="7"/>
      <c r="D28" s="7"/>
      <c r="E28" s="7"/>
      <c r="F28" s="7"/>
      <c r="G28" s="7"/>
      <c r="H28" s="2"/>
      <c r="I28" s="2"/>
      <c r="J28" s="2"/>
      <c r="K28" s="2"/>
      <c r="L28" s="1"/>
      <c r="M28" s="2"/>
      <c r="N28" s="2"/>
      <c r="O28" s="2"/>
      <c r="P28" s="2"/>
      <c r="Q28" s="2"/>
      <c r="R28" s="2"/>
      <c r="S28" s="2"/>
      <c r="T28" s="1"/>
      <c r="U28" s="1"/>
      <c r="V28" s="2"/>
      <c r="W28" s="2"/>
      <c r="X28" s="2"/>
      <c r="Y28" s="2"/>
      <c r="Z28" s="2"/>
      <c r="AA28" s="2"/>
      <c r="AB28" s="1"/>
      <c r="AC28" s="1"/>
      <c r="AD28" s="1"/>
      <c r="AE28" s="1"/>
      <c r="AF28" s="1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1"/>
      <c r="AC29" s="1"/>
      <c r="AD29" s="1"/>
      <c r="AE29" s="1"/>
      <c r="AF29" s="1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1"/>
      <c r="AC30" s="1"/>
      <c r="AD30" s="1"/>
      <c r="AE30" s="1"/>
      <c r="AF30" s="1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1"/>
      <c r="U31" s="2"/>
      <c r="V31" s="2"/>
      <c r="W31" s="2"/>
      <c r="X31" s="2"/>
      <c r="Y31" s="2"/>
      <c r="Z31" s="2"/>
      <c r="AA31" s="2"/>
      <c r="AB31" s="1"/>
      <c r="AC31" s="1"/>
      <c r="AD31" s="1"/>
      <c r="AE31" s="1"/>
      <c r="AF31" s="1"/>
    </row>
    <row r="32">
      <c r="A32" s="1"/>
      <c r="B32" s="2"/>
      <c r="C32" s="2"/>
      <c r="D32" s="2"/>
      <c r="E32" s="2"/>
      <c r="F32" s="2"/>
      <c r="G32" s="2"/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1"/>
      <c r="AC32" s="1"/>
      <c r="AD32" s="1"/>
      <c r="AE32" s="1"/>
      <c r="AF32" s="1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1"/>
      <c r="AC33" s="1"/>
      <c r="AD33" s="1"/>
      <c r="AE33" s="1"/>
      <c r="AF33" s="1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1"/>
      <c r="AC34" s="1"/>
      <c r="AD34" s="1"/>
      <c r="AE34" s="1"/>
      <c r="AF34" s="1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1"/>
      <c r="AC35" s="1"/>
      <c r="AD35" s="1"/>
      <c r="AE35" s="1"/>
      <c r="AF35" s="1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1"/>
      <c r="AC36" s="1"/>
      <c r="AD36" s="1"/>
      <c r="AE36" s="1"/>
      <c r="AF36" s="1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"/>
      <c r="O37" s="2"/>
      <c r="P37" s="2"/>
      <c r="Q37" s="2"/>
      <c r="R37" s="2"/>
      <c r="S37" s="2"/>
      <c r="T37" s="2"/>
      <c r="U37" s="1"/>
      <c r="V37" s="2"/>
      <c r="W37" s="2"/>
      <c r="X37" s="1"/>
      <c r="Y37" s="2"/>
      <c r="Z37" s="2"/>
      <c r="AA37" s="2"/>
      <c r="AB37" s="1"/>
      <c r="AC37" s="1"/>
      <c r="AD37" s="1"/>
      <c r="AE37" s="1"/>
      <c r="AF37" s="1"/>
    </row>
    <row r="38">
      <c r="A38" s="1"/>
      <c r="B38" s="2"/>
      <c r="C38" s="2"/>
      <c r="D38" s="2"/>
      <c r="E38" s="8"/>
      <c r="F38" s="2"/>
      <c r="G38" s="2"/>
      <c r="H38" s="2"/>
      <c r="I38" s="2"/>
      <c r="J38" s="2"/>
      <c r="K38" s="2"/>
      <c r="L38" s="2"/>
      <c r="M38" s="2"/>
      <c r="N38" s="1"/>
      <c r="O38" s="2"/>
      <c r="P38" s="2"/>
      <c r="Q38" s="2"/>
      <c r="R38" s="2"/>
      <c r="S38" s="2"/>
      <c r="T38" s="2"/>
      <c r="U38" s="8"/>
      <c r="V38" s="2"/>
      <c r="W38" s="2"/>
      <c r="X38" s="2"/>
      <c r="Y38" s="2"/>
      <c r="Z38" s="2"/>
      <c r="AA38" s="2"/>
      <c r="AB38" s="1"/>
      <c r="AC38" s="1"/>
      <c r="AD38" s="1"/>
      <c r="AE38" s="1"/>
      <c r="AF38" s="1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1"/>
      <c r="AC39" s="1"/>
      <c r="AD39" s="1"/>
      <c r="AE39" s="1"/>
      <c r="AF39" s="1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1"/>
      <c r="AC40" s="1"/>
      <c r="AD40" s="1"/>
      <c r="AE40" s="1"/>
      <c r="AF40" s="1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1"/>
      <c r="AC41" s="1"/>
      <c r="AD41" s="1"/>
      <c r="AE41" s="1"/>
      <c r="AF41" s="1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1"/>
      <c r="AC42" s="1"/>
      <c r="AD42" s="1"/>
      <c r="AE42" s="1"/>
      <c r="AF42" s="1"/>
    </row>
    <row r="43">
      <c r="A43" s="1"/>
      <c r="B43" s="2"/>
      <c r="C43" s="2"/>
      <c r="D43" s="2"/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1"/>
      <c r="AC43" s="1"/>
      <c r="AD43" s="1"/>
      <c r="AE43" s="1"/>
      <c r="AF43" s="1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1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1"/>
      <c r="AC44" s="1"/>
      <c r="AD44" s="1"/>
      <c r="AE44" s="1"/>
      <c r="AF44" s="1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11"/>
      <c r="U45" s="2"/>
      <c r="V45" s="2"/>
      <c r="W45" s="2"/>
      <c r="X45" s="2"/>
      <c r="Y45" s="2"/>
      <c r="Z45" s="2"/>
      <c r="AA45" s="2"/>
      <c r="AB45" s="1"/>
      <c r="AC45" s="1"/>
      <c r="AD45" s="1"/>
      <c r="AE45" s="1"/>
      <c r="AF45" s="1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12"/>
      <c r="U46" s="2"/>
      <c r="V46" s="2"/>
      <c r="W46" s="2"/>
      <c r="X46" s="2"/>
      <c r="Y46" s="2"/>
      <c r="Z46" s="2"/>
      <c r="AA46" s="2"/>
      <c r="AB46" s="1"/>
      <c r="AC46" s="1"/>
      <c r="AD46" s="1"/>
      <c r="AE46" s="1"/>
      <c r="AF46" s="1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11"/>
      <c r="U47" s="2"/>
      <c r="V47" s="2"/>
      <c r="W47" s="2"/>
      <c r="X47" s="2"/>
      <c r="Y47" s="2"/>
      <c r="Z47" s="2"/>
      <c r="AA47" s="2"/>
      <c r="AB47" s="1"/>
      <c r="AC47" s="1"/>
      <c r="AD47" s="1"/>
      <c r="AE47" s="1"/>
      <c r="AF47" s="1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11"/>
      <c r="U48" s="2"/>
      <c r="V48" s="2"/>
      <c r="W48" s="2"/>
      <c r="X48" s="2"/>
      <c r="Y48" s="2"/>
      <c r="Z48" s="2"/>
      <c r="AA48" s="2"/>
      <c r="AB48" s="1"/>
      <c r="AC48" s="1"/>
      <c r="AD48" s="1"/>
      <c r="AE48" s="1"/>
      <c r="AF48" s="1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11"/>
      <c r="U49" s="2"/>
      <c r="V49" s="2"/>
      <c r="W49" s="2"/>
      <c r="X49" s="2"/>
      <c r="Y49" s="2"/>
      <c r="Z49" s="2"/>
      <c r="AA49" s="2"/>
      <c r="AB49" s="1"/>
      <c r="AC49" s="1"/>
      <c r="AD49" s="1"/>
      <c r="AE49" s="1"/>
      <c r="AF49" s="1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11"/>
      <c r="U50" s="2"/>
      <c r="V50" s="2"/>
      <c r="W50" s="2"/>
      <c r="X50" s="2"/>
      <c r="Y50" s="2"/>
      <c r="Z50" s="1"/>
      <c r="AA50" s="1"/>
      <c r="AB50" s="1"/>
      <c r="AC50" s="1"/>
      <c r="AD50" s="1"/>
      <c r="AE50" s="1"/>
      <c r="AF50" s="1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1"/>
      <c r="AD51" s="1"/>
      <c r="AE51" s="1"/>
      <c r="AF51" s="1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1"/>
      <c r="AC52" s="1"/>
      <c r="AD52" s="1"/>
      <c r="AE52" s="1"/>
      <c r="AF52" s="1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1"/>
      <c r="M53" s="2"/>
      <c r="N53" s="2"/>
      <c r="O53" s="2"/>
      <c r="P53" s="2"/>
      <c r="Q53" s="2"/>
      <c r="R53" s="2"/>
      <c r="S53" s="2"/>
      <c r="T53" s="2"/>
      <c r="U53" s="1"/>
      <c r="V53" s="1"/>
      <c r="W53" s="1"/>
      <c r="X53" s="1"/>
      <c r="Y53" s="2"/>
      <c r="Z53" s="2"/>
      <c r="AA53" s="2"/>
      <c r="AB53" s="1"/>
      <c r="AC53" s="1"/>
      <c r="AD53" s="1"/>
      <c r="AE53" s="1"/>
      <c r="AF53" s="1"/>
    </row>
    <row r="54">
      <c r="A54" s="1"/>
      <c r="B54" s="2"/>
      <c r="C54" s="2"/>
      <c r="D54" s="2"/>
      <c r="E54" s="13"/>
      <c r="F54" s="2"/>
      <c r="G54" s="2"/>
      <c r="H54" s="2"/>
      <c r="I54" s="2"/>
      <c r="J54" s="2"/>
      <c r="K54" s="2"/>
      <c r="L54" s="1"/>
      <c r="M54" s="2"/>
      <c r="N54" s="2"/>
      <c r="O54" s="2"/>
      <c r="P54" s="2"/>
      <c r="Q54" s="2"/>
      <c r="R54" s="2"/>
      <c r="S54" s="2"/>
      <c r="T54" s="2"/>
      <c r="U54" s="14"/>
      <c r="V54" s="2"/>
      <c r="W54" s="2"/>
      <c r="X54" s="2"/>
      <c r="Y54" s="2"/>
      <c r="Z54" s="2"/>
      <c r="AA54" s="2"/>
      <c r="AB54" s="1"/>
      <c r="AC54" s="1"/>
      <c r="AD54" s="1"/>
      <c r="AE54" s="1"/>
      <c r="AF54" s="1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1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15"/>
      <c r="Z55" s="15"/>
      <c r="AA55" s="15"/>
      <c r="AB55" s="1"/>
      <c r="AC55" s="1"/>
      <c r="AD55" s="1"/>
      <c r="AE55" s="1"/>
      <c r="AF55" s="1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15"/>
      <c r="Z56" s="15"/>
      <c r="AA56" s="2"/>
      <c r="AB56" s="1"/>
      <c r="AC56" s="1"/>
      <c r="AD56" s="1"/>
      <c r="AE56" s="1"/>
      <c r="AF56" s="1"/>
    </row>
    <row r="57">
      <c r="A57" s="1"/>
      <c r="B57" s="2"/>
      <c r="C57" s="2"/>
      <c r="D57" s="16"/>
      <c r="E57" s="17"/>
      <c r="F57" s="2"/>
      <c r="G57" s="2"/>
      <c r="H57" s="2"/>
      <c r="I57" s="2"/>
      <c r="J57" s="2"/>
      <c r="K57" s="2"/>
      <c r="L57" s="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15"/>
      <c r="Z57" s="15"/>
      <c r="AA57" s="2"/>
      <c r="AB57" s="1"/>
      <c r="AC57" s="1"/>
      <c r="AD57" s="1"/>
      <c r="AE57" s="1"/>
      <c r="AF57" s="1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1"/>
      <c r="M58" s="2"/>
      <c r="N58" s="2"/>
      <c r="O58" s="2"/>
      <c r="P58" s="2"/>
      <c r="Q58" s="2"/>
      <c r="R58" s="2"/>
      <c r="S58" s="2"/>
      <c r="T58" s="14"/>
      <c r="U58" s="14"/>
      <c r="V58" s="2"/>
      <c r="W58" s="2"/>
      <c r="X58" s="2"/>
      <c r="Y58" s="2"/>
      <c r="Z58" s="2"/>
      <c r="AA58" s="2"/>
      <c r="AB58" s="1"/>
      <c r="AC58" s="1"/>
      <c r="AD58" s="1"/>
      <c r="AE58" s="1"/>
      <c r="AF58" s="1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1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1"/>
      <c r="AC59" s="1"/>
      <c r="AD59" s="1"/>
      <c r="AE59" s="1"/>
      <c r="AF59" s="1"/>
    </row>
    <row r="60">
      <c r="A60" s="1"/>
      <c r="B60" s="2"/>
      <c r="C60" s="2"/>
      <c r="D60" s="2"/>
      <c r="E60" s="2"/>
      <c r="F60" s="1"/>
      <c r="G60" s="2"/>
      <c r="H60" s="2"/>
      <c r="I60" s="2"/>
      <c r="J60" s="2"/>
      <c r="K60" s="2"/>
      <c r="L60" s="1"/>
      <c r="M60" s="2"/>
      <c r="N60" s="2"/>
      <c r="O60" s="2"/>
      <c r="P60" s="2"/>
      <c r="Q60" s="2"/>
      <c r="R60" s="2"/>
      <c r="S60" s="2"/>
      <c r="T60" s="2"/>
      <c r="U60" s="1"/>
      <c r="V60" s="1"/>
      <c r="W60" s="1"/>
      <c r="X60" s="1"/>
      <c r="Y60" s="2"/>
      <c r="Z60" s="2"/>
      <c r="AA60" s="2"/>
      <c r="AB60" s="1"/>
      <c r="AC60" s="1"/>
      <c r="AD60" s="1"/>
      <c r="AE60" s="1"/>
      <c r="AF60" s="1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1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1"/>
      <c r="AC61" s="1"/>
      <c r="AD61" s="1"/>
      <c r="AE61" s="1"/>
      <c r="AF61" s="1"/>
    </row>
    <row r="62">
      <c r="A62" s="1"/>
      <c r="B62" s="2"/>
      <c r="C62" s="2"/>
      <c r="D62" s="2"/>
      <c r="E62" s="2"/>
      <c r="F62" s="1"/>
      <c r="G62" s="2"/>
      <c r="H62" s="2"/>
      <c r="I62" s="2"/>
      <c r="J62" s="2"/>
      <c r="K62" s="2"/>
      <c r="L62" s="1"/>
      <c r="M62" s="2"/>
      <c r="N62" s="2"/>
      <c r="O62" s="2"/>
      <c r="P62" s="2"/>
      <c r="Q62" s="2"/>
      <c r="R62" s="2"/>
      <c r="S62" s="2"/>
      <c r="T62" s="2"/>
      <c r="U62" s="8"/>
      <c r="V62" s="2"/>
      <c r="W62" s="2"/>
      <c r="X62" s="1"/>
      <c r="Y62" s="2"/>
      <c r="Z62" s="2"/>
      <c r="AA62" s="2"/>
      <c r="AB62" s="1"/>
      <c r="AC62" s="1"/>
      <c r="AD62" s="1"/>
      <c r="AE62" s="1"/>
      <c r="AF62" s="1"/>
    </row>
    <row r="63">
      <c r="A63" s="1"/>
      <c r="B63" s="2"/>
      <c r="C63" s="2"/>
      <c r="D63" s="2"/>
      <c r="E63" s="2"/>
      <c r="F63" s="1"/>
      <c r="G63" s="2"/>
      <c r="H63" s="2"/>
      <c r="I63" s="2"/>
      <c r="J63" s="2"/>
      <c r="K63" s="2"/>
      <c r="L63" s="1"/>
      <c r="M63" s="1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2"/>
      <c r="Z63" s="2"/>
      <c r="AA63" s="2"/>
      <c r="AB63" s="1"/>
      <c r="AC63" s="1"/>
      <c r="AD63" s="1"/>
      <c r="AE63" s="1"/>
      <c r="AF63" s="1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1"/>
      <c r="M64" s="2"/>
      <c r="N64" s="1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1"/>
      <c r="AC64" s="1"/>
      <c r="AD64" s="1"/>
      <c r="AE64" s="1"/>
      <c r="AF64" s="1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1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1"/>
      <c r="AC65" s="1"/>
      <c r="AD65" s="1"/>
      <c r="AE65" s="1"/>
      <c r="AF65" s="1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18"/>
      <c r="U66" s="1"/>
      <c r="V66" s="1"/>
      <c r="W66" s="1"/>
      <c r="X66" s="1"/>
      <c r="Y66" s="2"/>
      <c r="Z66" s="2"/>
      <c r="AA66" s="2"/>
      <c r="AB66" s="1"/>
      <c r="AC66" s="1"/>
      <c r="AD66" s="1"/>
      <c r="AE66" s="1"/>
      <c r="AF66" s="1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1"/>
      <c r="M67" s="2"/>
      <c r="N67" s="2"/>
      <c r="O67" s="2"/>
      <c r="P67" s="2"/>
      <c r="Q67" s="2"/>
      <c r="R67" s="2"/>
      <c r="S67" s="2"/>
      <c r="T67" s="1"/>
      <c r="U67" s="1"/>
      <c r="V67" s="2"/>
      <c r="W67" s="1"/>
      <c r="X67" s="2"/>
      <c r="Y67" s="2"/>
      <c r="Z67" s="2"/>
      <c r="AA67" s="2"/>
      <c r="AB67" s="1"/>
      <c r="AC67" s="1"/>
      <c r="AD67" s="1"/>
      <c r="AE67" s="1"/>
      <c r="AF67" s="1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1"/>
      <c r="M68" s="2"/>
      <c r="N68" s="2"/>
      <c r="O68" s="2"/>
      <c r="P68" s="2"/>
      <c r="Q68" s="2"/>
      <c r="R68" s="2"/>
      <c r="S68" s="2"/>
      <c r="T68" s="2"/>
      <c r="U68" s="1"/>
      <c r="V68" s="2"/>
      <c r="W68" s="2"/>
      <c r="X68" s="1"/>
      <c r="Y68" s="2"/>
      <c r="Z68" s="2"/>
      <c r="AA68" s="2"/>
      <c r="AB68" s="1"/>
      <c r="AC68" s="1"/>
      <c r="AD68" s="1"/>
      <c r="AE68" s="1"/>
      <c r="AF68" s="1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1"/>
      <c r="M69" s="2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1"/>
      <c r="AC69" s="1"/>
      <c r="AD69" s="1"/>
      <c r="AE69" s="1"/>
      <c r="AF69" s="1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1"/>
      <c r="AC70" s="1"/>
      <c r="AD70" s="1"/>
      <c r="AE70" s="1"/>
      <c r="AF70" s="1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1"/>
      <c r="AC71" s="1"/>
      <c r="AD71" s="1"/>
      <c r="AE71" s="1"/>
      <c r="AF71" s="1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2"/>
      <c r="W72" s="2"/>
      <c r="X72" s="2"/>
      <c r="Y72" s="2"/>
      <c r="Z72" s="2"/>
      <c r="AA72" s="2"/>
      <c r="AB72" s="1"/>
      <c r="AC72" s="1"/>
      <c r="AD72" s="1"/>
      <c r="AE72" s="1"/>
      <c r="AF72" s="1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1"/>
      <c r="AC73" s="1"/>
      <c r="AD73" s="1"/>
      <c r="AE73" s="1"/>
      <c r="AF73" s="1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1"/>
      <c r="AC74" s="1"/>
      <c r="AD74" s="1"/>
      <c r="AE74" s="1"/>
      <c r="AF74" s="1"/>
    </row>
    <row r="75">
      <c r="A75" s="1"/>
      <c r="B75" s="2"/>
      <c r="C75" s="19"/>
      <c r="D75" s="19"/>
      <c r="E75" s="19"/>
      <c r="F75" s="2"/>
      <c r="G75" s="19"/>
      <c r="H75" s="19"/>
      <c r="I75" s="19"/>
      <c r="J75" s="19"/>
      <c r="K75" s="19"/>
      <c r="L75" s="15"/>
      <c r="M75" s="19"/>
      <c r="N75" s="2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2"/>
      <c r="Z75" s="2"/>
      <c r="AA75" s="2"/>
      <c r="AB75" s="1"/>
      <c r="AC75" s="1"/>
      <c r="AD75" s="1"/>
      <c r="AE75" s="1"/>
      <c r="AF75" s="1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1"/>
      <c r="AC76" s="1"/>
      <c r="AD76" s="1"/>
      <c r="AE76" s="1"/>
      <c r="AF76" s="1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1"/>
      <c r="AC77" s="1"/>
      <c r="AD77" s="1"/>
      <c r="AE77" s="1"/>
      <c r="AF77" s="1"/>
    </row>
    <row r="78">
      <c r="A78" s="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1"/>
      <c r="AC78" s="1"/>
      <c r="AD78" s="1"/>
      <c r="AE78" s="1"/>
      <c r="AF78" s="1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1"/>
      <c r="AC79" s="1"/>
      <c r="AD79" s="1"/>
      <c r="AE79" s="1"/>
      <c r="AF79" s="1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1"/>
      <c r="AC80" s="1"/>
      <c r="AD80" s="1"/>
      <c r="AE80" s="1"/>
      <c r="AF80" s="1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1"/>
      <c r="AC81" s="1"/>
      <c r="AD81" s="1"/>
      <c r="AE81" s="1"/>
      <c r="AF81" s="1"/>
    </row>
    <row r="82">
      <c r="A82" s="1"/>
      <c r="B82" s="2"/>
      <c r="C82" s="2"/>
      <c r="D82" s="2"/>
      <c r="E82" s="20"/>
      <c r="F82" s="2"/>
      <c r="G82" s="2"/>
      <c r="H82" s="2"/>
      <c r="I82" s="1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1"/>
      <c r="AC82" s="1"/>
      <c r="AD82" s="1"/>
      <c r="AE82" s="1"/>
      <c r="AF82" s="1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1"/>
      <c r="AC83" s="1"/>
      <c r="AD83" s="1"/>
      <c r="AE83" s="1"/>
      <c r="AF83" s="1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1"/>
      <c r="AC84" s="1"/>
      <c r="AD84" s="1"/>
      <c r="AE84" s="1"/>
      <c r="AF84" s="1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2"/>
      <c r="Q85" s="2"/>
      <c r="R85" s="2"/>
      <c r="S85" s="2"/>
      <c r="T85" s="1"/>
      <c r="U85" s="1"/>
      <c r="V85" s="2"/>
      <c r="W85" s="2"/>
      <c r="X85" s="1"/>
      <c r="Y85" s="2"/>
      <c r="Z85" s="1"/>
      <c r="AA85" s="1"/>
      <c r="AB85" s="1"/>
      <c r="AC85" s="1"/>
      <c r="AD85" s="1"/>
      <c r="AE85" s="1"/>
      <c r="AF85" s="1"/>
    </row>
    <row r="86">
      <c r="A86" s="1"/>
      <c r="B86" s="2"/>
      <c r="C86" s="2"/>
      <c r="D86" s="2"/>
      <c r="E86" s="20"/>
      <c r="F86" s="2"/>
      <c r="G86" s="2"/>
      <c r="H86" s="2"/>
      <c r="I86" s="2"/>
      <c r="J86" s="2"/>
      <c r="K86" s="2"/>
      <c r="L86" s="2"/>
      <c r="M86" s="2"/>
      <c r="N86" s="21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1"/>
      <c r="AC86" s="1"/>
      <c r="AD86" s="1"/>
      <c r="AE86" s="1"/>
      <c r="AF86" s="1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1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1"/>
      <c r="AC87" s="1"/>
      <c r="AD87" s="1"/>
      <c r="AE87" s="1"/>
      <c r="AF87" s="1"/>
    </row>
    <row r="88">
      <c r="A88" s="1"/>
      <c r="B88" s="2"/>
      <c r="C88" s="2"/>
      <c r="D88" s="2"/>
      <c r="E88" s="20"/>
      <c r="F88" s="2"/>
      <c r="G88" s="2"/>
      <c r="H88" s="2"/>
      <c r="I88" s="2"/>
      <c r="J88" s="2"/>
      <c r="K88" s="2"/>
      <c r="L88" s="2"/>
      <c r="M88" s="2"/>
      <c r="N88" s="21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1"/>
      <c r="AC88" s="1"/>
      <c r="AD88" s="1"/>
      <c r="AE88" s="1"/>
      <c r="AF88" s="1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1"/>
      <c r="AD89" s="1"/>
      <c r="AE89" s="1"/>
      <c r="AF89" s="1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1"/>
      <c r="AA90" s="1"/>
      <c r="AB90" s="1"/>
      <c r="AC90" s="1"/>
      <c r="AD90" s="1"/>
      <c r="AE90" s="1"/>
      <c r="AF90" s="1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1"/>
      <c r="M91" s="2"/>
      <c r="N91" s="2"/>
      <c r="O91" s="2"/>
      <c r="P91" s="2"/>
      <c r="Q91" s="2"/>
      <c r="R91" s="2"/>
      <c r="S91" s="1"/>
      <c r="T91" s="11"/>
      <c r="U91" s="11"/>
      <c r="V91" s="1"/>
      <c r="W91" s="2"/>
      <c r="X91" s="2"/>
      <c r="Y91" s="2"/>
      <c r="Z91" s="1"/>
      <c r="AA91" s="1"/>
      <c r="AB91" s="1"/>
      <c r="AC91" s="1"/>
      <c r="AD91" s="1"/>
      <c r="AE91" s="1"/>
      <c r="AF91" s="1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1"/>
      <c r="U92" s="2"/>
      <c r="V92" s="2"/>
      <c r="W92" s="2"/>
      <c r="X92" s="1"/>
      <c r="Y92" s="2"/>
      <c r="Z92" s="2"/>
      <c r="AA92" s="2"/>
      <c r="AB92" s="1"/>
      <c r="AC92" s="1"/>
      <c r="AD92" s="1"/>
      <c r="AE92" s="1"/>
      <c r="AF92" s="1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1"/>
      <c r="U93" s="1"/>
      <c r="V93" s="1"/>
      <c r="W93" s="2"/>
      <c r="X93" s="1"/>
      <c r="Y93" s="2"/>
      <c r="Z93" s="2"/>
      <c r="AA93" s="2"/>
      <c r="AB93" s="1"/>
      <c r="AC93" s="1"/>
      <c r="AD93" s="1"/>
      <c r="AE93" s="1"/>
      <c r="AF93" s="1"/>
    </row>
    <row r="94">
      <c r="A94" s="1"/>
      <c r="B94" s="2"/>
      <c r="C94" s="2"/>
      <c r="D94" s="18"/>
      <c r="E94" s="2"/>
      <c r="F94" s="2"/>
      <c r="G94" s="2"/>
      <c r="H94" s="2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1"/>
      <c r="U94" s="1"/>
      <c r="V94" s="1"/>
      <c r="W94" s="2"/>
      <c r="X94" s="1"/>
      <c r="Y94" s="2"/>
      <c r="Z94" s="2"/>
      <c r="AA94" s="2"/>
      <c r="AB94" s="1"/>
      <c r="AC94" s="1"/>
      <c r="AD94" s="1"/>
      <c r="AE94" s="1"/>
      <c r="AF94" s="1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1"/>
      <c r="U95" s="1"/>
      <c r="V95" s="1"/>
      <c r="W95" s="2"/>
      <c r="X95" s="1"/>
      <c r="Y95" s="2"/>
      <c r="Z95" s="2"/>
      <c r="AA95" s="2"/>
      <c r="AB95" s="1"/>
      <c r="AC95" s="1"/>
      <c r="AD95" s="1"/>
      <c r="AE95" s="1"/>
      <c r="AF95" s="1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1"/>
      <c r="AC96" s="1"/>
      <c r="AD96" s="1"/>
      <c r="AE96" s="1"/>
      <c r="AF96" s="1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1"/>
      <c r="AD97" s="1"/>
      <c r="AE97" s="1"/>
      <c r="AF97" s="1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1"/>
      <c r="AA98" s="1"/>
      <c r="AB98" s="2"/>
      <c r="AC98" s="1"/>
      <c r="AD98" s="1"/>
      <c r="AE98" s="1"/>
      <c r="AF98" s="1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1"/>
      <c r="AA99" s="1"/>
      <c r="AB99" s="2"/>
      <c r="AC99" s="1"/>
      <c r="AD99" s="1"/>
      <c r="AE99" s="1"/>
      <c r="AF99" s="1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1"/>
      <c r="AA100" s="1"/>
      <c r="AB100" s="2"/>
      <c r="AC100" s="1"/>
      <c r="AD100" s="1"/>
      <c r="AE100" s="1"/>
      <c r="AF100" s="1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1"/>
      <c r="U101" s="1"/>
      <c r="V101" s="1"/>
      <c r="W101" s="1"/>
      <c r="X101" s="1"/>
      <c r="Y101" s="2"/>
      <c r="Z101" s="2"/>
      <c r="AA101" s="2"/>
      <c r="AB101" s="1"/>
      <c r="AC101" s="1"/>
      <c r="AD101" s="1"/>
      <c r="AE101" s="1"/>
      <c r="AF101" s="1"/>
    </row>
    <row r="102">
      <c r="A102" s="1"/>
      <c r="B102" s="2"/>
      <c r="C102" s="2"/>
      <c r="D102" s="2"/>
      <c r="E102" s="2"/>
      <c r="F102" s="1"/>
      <c r="G102" s="2"/>
      <c r="H102" s="2"/>
      <c r="I102" s="2"/>
      <c r="J102" s="2"/>
      <c r="K102" s="2"/>
      <c r="L102" s="1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1"/>
      <c r="AD102" s="1"/>
      <c r="AE102" s="1"/>
      <c r="AF102" s="1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2"/>
      <c r="V103" s="2"/>
      <c r="W103" s="2"/>
      <c r="X103" s="2"/>
      <c r="Y103" s="2"/>
      <c r="Z103" s="2"/>
      <c r="AA103" s="2"/>
      <c r="AB103" s="1"/>
      <c r="AC103" s="1"/>
      <c r="AD103" s="1"/>
      <c r="AE103" s="1"/>
      <c r="AF103" s="1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1"/>
      <c r="AC104" s="1"/>
      <c r="AD104" s="1"/>
      <c r="AE104" s="1"/>
      <c r="AF104" s="1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1"/>
      <c r="AC105" s="1"/>
      <c r="AD105" s="1"/>
      <c r="AE105" s="1"/>
      <c r="AF105" s="1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1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1"/>
      <c r="AC106" s="1"/>
      <c r="AD106" s="1"/>
      <c r="AE106" s="1"/>
      <c r="AF106" s="1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1"/>
      <c r="AC107" s="1"/>
      <c r="AD107" s="1"/>
      <c r="AE107" s="1"/>
      <c r="AF107" s="1"/>
    </row>
    <row r="108">
      <c r="A108" s="1"/>
      <c r="B108" s="2"/>
      <c r="C108" s="2"/>
      <c r="D108" s="23"/>
      <c r="E108" s="2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2"/>
      <c r="V108" s="1"/>
      <c r="W108" s="1"/>
      <c r="X108" s="2"/>
      <c r="Y108" s="2"/>
      <c r="Z108" s="2"/>
      <c r="AA108" s="2"/>
      <c r="AB108" s="2"/>
      <c r="AC108" s="1"/>
      <c r="AD108" s="1"/>
      <c r="AE108" s="1"/>
      <c r="AF108" s="1"/>
    </row>
    <row r="109">
      <c r="A109" s="1"/>
      <c r="B109" s="2"/>
      <c r="C109" s="2"/>
      <c r="D109" s="2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1"/>
      <c r="S109" s="2"/>
      <c r="T109" s="2"/>
      <c r="U109" s="2"/>
      <c r="V109" s="2"/>
      <c r="W109" s="2"/>
      <c r="X109" s="2"/>
      <c r="Y109" s="2"/>
      <c r="Z109" s="2"/>
      <c r="AA109" s="2"/>
      <c r="AB109" s="1"/>
      <c r="AC109" s="1"/>
      <c r="AD109" s="1"/>
      <c r="AE109" s="1"/>
      <c r="AF109" s="1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1"/>
      <c r="M110" s="1"/>
      <c r="N110" s="2"/>
      <c r="O110" s="2"/>
      <c r="P110" s="2"/>
      <c r="Q110" s="1"/>
      <c r="R110" s="2"/>
      <c r="S110" s="2"/>
      <c r="T110" s="2"/>
      <c r="U110" s="2"/>
      <c r="V110" s="1"/>
      <c r="W110" s="1"/>
      <c r="X110" s="2"/>
      <c r="Y110" s="2"/>
      <c r="Z110" s="2"/>
      <c r="AA110" s="2"/>
      <c r="AB110" s="1"/>
      <c r="AC110" s="1"/>
      <c r="AD110" s="1"/>
      <c r="AE110" s="1"/>
      <c r="AF110" s="1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1"/>
      <c r="T111" s="2"/>
      <c r="U111" s="2"/>
      <c r="V111" s="2"/>
      <c r="W111" s="2"/>
      <c r="X111" s="2"/>
      <c r="Y111" s="2"/>
      <c r="Z111" s="2"/>
      <c r="AA111" s="2"/>
      <c r="AB111" s="1"/>
      <c r="AC111" s="1"/>
      <c r="AD111" s="1"/>
      <c r="AE111" s="1"/>
      <c r="AF111" s="1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1"/>
      <c r="M112" s="2"/>
      <c r="N112" s="2"/>
      <c r="O112" s="2"/>
      <c r="P112" s="2"/>
      <c r="Q112" s="2"/>
      <c r="R112" s="2"/>
      <c r="S112" s="1"/>
      <c r="T112" s="11"/>
      <c r="U112" s="2"/>
      <c r="V112" s="1"/>
      <c r="W112" s="2"/>
      <c r="X112" s="2"/>
      <c r="Y112" s="2"/>
      <c r="Z112" s="2"/>
      <c r="AA112" s="2"/>
      <c r="AB112" s="1"/>
      <c r="AC112" s="1"/>
      <c r="AD112" s="1"/>
      <c r="AE112" s="1"/>
      <c r="AF112" s="1"/>
    </row>
    <row r="113">
      <c r="A113" s="1"/>
      <c r="B113" s="2"/>
      <c r="C113" s="2"/>
      <c r="D113" s="2"/>
      <c r="E113" s="25"/>
      <c r="F113" s="2"/>
      <c r="G113" s="2"/>
      <c r="H113" s="2"/>
      <c r="I113" s="26"/>
      <c r="J113" s="2"/>
      <c r="K113" s="2"/>
      <c r="L113" s="2"/>
      <c r="M113" s="2"/>
      <c r="N113" s="27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1"/>
      <c r="AC113" s="1"/>
      <c r="AD113" s="1"/>
      <c r="AE113" s="1"/>
      <c r="AF113" s="1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1"/>
      <c r="AC114" s="1"/>
      <c r="AD114" s="1"/>
      <c r="AE114" s="1"/>
      <c r="AF114" s="1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1"/>
      <c r="AC115" s="1"/>
      <c r="AD115" s="1"/>
      <c r="AE115" s="1"/>
      <c r="AF115" s="1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"/>
      <c r="W116" s="2"/>
      <c r="X116" s="2"/>
      <c r="Y116" s="2"/>
      <c r="Z116" s="2"/>
      <c r="AA116" s="2"/>
      <c r="AB116" s="1"/>
      <c r="AC116" s="1"/>
      <c r="AD116" s="1"/>
      <c r="AE116" s="1"/>
      <c r="AF116" s="1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1"/>
      <c r="AC117" s="1"/>
      <c r="AD117" s="1"/>
      <c r="AE117" s="1"/>
      <c r="AF117" s="1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1"/>
      <c r="W118" s="1"/>
      <c r="X118" s="2"/>
      <c r="Y118" s="2"/>
      <c r="Z118" s="2"/>
      <c r="AA118" s="2"/>
      <c r="AB118" s="1"/>
      <c r="AC118" s="1"/>
      <c r="AD118" s="1"/>
      <c r="AE118" s="1"/>
      <c r="AF118" s="1"/>
    </row>
    <row r="119">
      <c r="A119" s="1"/>
      <c r="B119" s="2"/>
      <c r="C119" s="28"/>
      <c r="D119" s="28"/>
      <c r="E119" s="20"/>
      <c r="F119" s="2"/>
      <c r="G119" s="2"/>
      <c r="H119" s="2"/>
      <c r="I119" s="2"/>
      <c r="J119" s="2"/>
      <c r="K119" s="2"/>
      <c r="L119" s="1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2"/>
      <c r="AB119" s="1"/>
      <c r="AC119" s="1"/>
      <c r="AD119" s="1"/>
      <c r="AE119" s="1"/>
      <c r="AF119" s="1"/>
    </row>
    <row r="120">
      <c r="A120" s="1"/>
      <c r="B120" s="2"/>
      <c r="C120" s="2"/>
      <c r="D120" s="2"/>
      <c r="E120" s="29"/>
      <c r="F120" s="2"/>
      <c r="G120" s="2"/>
      <c r="H120" s="2"/>
      <c r="I120" s="2"/>
      <c r="J120" s="2"/>
      <c r="K120" s="19"/>
      <c r="L120" s="2"/>
      <c r="M120" s="2"/>
      <c r="N120" s="1"/>
      <c r="O120" s="1"/>
      <c r="P120" s="1"/>
      <c r="Q120" s="1"/>
      <c r="R120" s="2"/>
      <c r="S120" s="1"/>
      <c r="T120" s="1"/>
      <c r="U120" s="2"/>
      <c r="V120" s="2"/>
      <c r="W120" s="1"/>
      <c r="X120" s="2"/>
      <c r="Y120" s="2"/>
      <c r="Z120" s="2"/>
      <c r="AA120" s="2"/>
      <c r="AB120" s="1"/>
      <c r="AC120" s="1"/>
      <c r="AD120" s="1"/>
      <c r="AE120" s="1"/>
      <c r="AF120" s="1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1"/>
      <c r="U121" s="2"/>
      <c r="V121" s="2"/>
      <c r="W121" s="2"/>
      <c r="X121" s="2"/>
      <c r="Y121" s="2"/>
      <c r="Z121" s="1"/>
      <c r="AA121" s="1"/>
      <c r="AB121" s="1"/>
      <c r="AC121" s="1"/>
      <c r="AD121" s="1"/>
      <c r="AE121" s="1"/>
      <c r="AF121" s="1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1"/>
      <c r="AC122" s="1"/>
      <c r="AD122" s="1"/>
      <c r="AE122" s="1"/>
      <c r="AF122" s="1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1"/>
      <c r="AC123" s="1"/>
      <c r="AD123" s="1"/>
      <c r="AE123" s="1"/>
      <c r="AF123" s="1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1"/>
      <c r="M124" s="2"/>
      <c r="N124" s="30"/>
      <c r="O124" s="2"/>
      <c r="P124" s="2"/>
      <c r="Q124" s="2"/>
      <c r="R124" s="2"/>
      <c r="S124" s="2"/>
      <c r="T124" s="2"/>
      <c r="U124" s="2"/>
      <c r="V124" s="2"/>
      <c r="W124" s="2"/>
      <c r="X124" s="1"/>
      <c r="Y124" s="2"/>
      <c r="Z124" s="2"/>
      <c r="AA124" s="2"/>
      <c r="AB124" s="1"/>
      <c r="AC124" s="1"/>
      <c r="AD124" s="1"/>
      <c r="AE124" s="1"/>
      <c r="AF124" s="1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1"/>
      <c r="AD125" s="1"/>
      <c r="AE125" s="1"/>
      <c r="AF125" s="1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1"/>
      <c r="U126" s="2"/>
      <c r="V126" s="2"/>
      <c r="W126" s="2"/>
      <c r="X126" s="2"/>
      <c r="Y126" s="2"/>
      <c r="Z126" s="2"/>
      <c r="AA126" s="2"/>
      <c r="AB126" s="1"/>
      <c r="AC126" s="1"/>
      <c r="AD126" s="1"/>
      <c r="AE126" s="1"/>
      <c r="AF126" s="1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1"/>
      <c r="AC127" s="1"/>
      <c r="AD127" s="1"/>
      <c r="AE127" s="1"/>
      <c r="AF127" s="1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"/>
      <c r="W128" s="2"/>
      <c r="X128" s="2"/>
      <c r="Y128" s="2"/>
      <c r="Z128" s="1"/>
      <c r="AA128" s="1"/>
      <c r="AB128" s="1"/>
      <c r="AC128" s="1"/>
      <c r="AD128" s="1"/>
      <c r="AE128" s="1"/>
      <c r="AF128" s="1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1"/>
      <c r="AC129" s="1"/>
      <c r="AD129" s="1"/>
      <c r="AE129" s="1"/>
      <c r="AF129" s="1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1"/>
      <c r="M130" s="2"/>
      <c r="N130" s="2"/>
      <c r="O130" s="2"/>
      <c r="P130" s="2"/>
      <c r="Q130" s="2"/>
      <c r="R130" s="2"/>
      <c r="S130" s="2"/>
      <c r="T130" s="2"/>
      <c r="U130" s="1"/>
      <c r="V130" s="1"/>
      <c r="W130" s="1"/>
      <c r="X130" s="1"/>
      <c r="Y130" s="2"/>
      <c r="Z130" s="2"/>
      <c r="AA130" s="2"/>
      <c r="AB130" s="1"/>
      <c r="AC130" s="1"/>
      <c r="AD130" s="1"/>
      <c r="AE130" s="1"/>
      <c r="AF130" s="1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1"/>
      <c r="AA131" s="1"/>
      <c r="AB131" s="1"/>
      <c r="AC131" s="1"/>
      <c r="AD131" s="1"/>
      <c r="AE131" s="1"/>
      <c r="AF131" s="1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1"/>
      <c r="AC132" s="1"/>
      <c r="AD132" s="1"/>
      <c r="AE132" s="1"/>
      <c r="AF132" s="1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1"/>
      <c r="O133" s="1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1"/>
      <c r="AC133" s="1"/>
      <c r="AD133" s="1"/>
      <c r="AE133" s="1"/>
      <c r="AF133" s="1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1"/>
      <c r="AC134" s="1"/>
      <c r="AD134" s="1"/>
      <c r="AE134" s="1"/>
      <c r="AF134" s="1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1"/>
      <c r="AC135" s="1"/>
      <c r="AD135" s="1"/>
      <c r="AE135" s="1"/>
      <c r="AF135" s="1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1"/>
      <c r="AD136" s="1"/>
      <c r="AE136" s="1"/>
      <c r="AF136" s="1"/>
    </row>
    <row r="137">
      <c r="A137" s="1"/>
      <c r="B137" s="2"/>
      <c r="C137" s="2"/>
      <c r="D137" s="2"/>
      <c r="E137" s="2"/>
      <c r="F137" s="2"/>
      <c r="G137" s="2"/>
      <c r="H137" s="2"/>
      <c r="I137" s="3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33"/>
      <c r="U137" s="2"/>
      <c r="V137" s="2"/>
      <c r="W137" s="2"/>
      <c r="X137" s="2"/>
      <c r="Y137" s="2"/>
      <c r="Z137" s="2"/>
      <c r="AA137" s="2"/>
      <c r="AB137" s="1"/>
      <c r="AC137" s="1"/>
      <c r="AD137" s="1"/>
      <c r="AE137" s="1"/>
      <c r="AF137" s="1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1"/>
      <c r="AC138" s="1"/>
      <c r="AD138" s="1"/>
      <c r="AE138" s="1"/>
      <c r="AF138" s="1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1"/>
      <c r="AC139" s="1"/>
      <c r="AD139" s="1"/>
      <c r="AE139" s="1"/>
      <c r="AF139" s="1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1"/>
      <c r="AC140" s="1"/>
      <c r="AD140" s="1"/>
      <c r="AE140" s="1"/>
      <c r="AF140" s="1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1"/>
      <c r="AA141" s="1"/>
      <c r="AB141" s="1"/>
      <c r="AC141" s="1"/>
      <c r="AD141" s="1"/>
      <c r="AE141" s="1"/>
      <c r="AF141" s="1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1"/>
      <c r="AA142" s="1"/>
      <c r="AB142" s="1"/>
      <c r="AC142" s="1"/>
      <c r="AD142" s="1"/>
      <c r="AE142" s="1"/>
      <c r="AF142" s="1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1"/>
      <c r="AC143" s="1"/>
      <c r="AD143" s="1"/>
      <c r="AE143" s="1"/>
      <c r="AF143" s="1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1"/>
      <c r="U144" s="2"/>
      <c r="V144" s="1"/>
      <c r="W144" s="1"/>
      <c r="X144" s="2"/>
      <c r="Y144" s="2"/>
      <c r="Z144" s="2"/>
      <c r="AA144" s="2"/>
      <c r="AB144" s="2"/>
      <c r="AC144" s="1"/>
      <c r="AD144" s="1"/>
      <c r="AE144" s="1"/>
      <c r="AF144" s="1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1"/>
      <c r="AC145" s="1"/>
      <c r="AD145" s="1"/>
      <c r="AE145" s="1"/>
      <c r="AF145" s="1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1"/>
      <c r="M146" s="2"/>
      <c r="N146" s="1"/>
      <c r="O146" s="2"/>
      <c r="P146" s="2"/>
      <c r="Q146" s="2"/>
      <c r="R146" s="2"/>
      <c r="S146" s="1"/>
      <c r="T146" s="1"/>
      <c r="U146" s="1"/>
      <c r="V146" s="2"/>
      <c r="W146" s="1"/>
      <c r="X146" s="1"/>
      <c r="Y146" s="2"/>
      <c r="Z146" s="2"/>
      <c r="AA146" s="2"/>
      <c r="AB146" s="1"/>
      <c r="AC146" s="1"/>
      <c r="AD146" s="1"/>
      <c r="AE146" s="1"/>
      <c r="AF146" s="1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1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2"/>
      <c r="Z147" s="2"/>
      <c r="AA147" s="2"/>
      <c r="AB147" s="1"/>
      <c r="AC147" s="1"/>
      <c r="AD147" s="1"/>
      <c r="AE147" s="1"/>
      <c r="AF147" s="1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2"/>
      <c r="Q148" s="1"/>
      <c r="R148" s="2"/>
      <c r="S148" s="2"/>
      <c r="T148" s="1"/>
      <c r="U148" s="2"/>
      <c r="V148" s="2"/>
      <c r="W148" s="2"/>
      <c r="X148" s="1"/>
      <c r="Y148" s="2"/>
      <c r="Z148" s="2"/>
      <c r="AA148" s="2"/>
      <c r="AB148" s="1"/>
      <c r="AC148" s="1"/>
      <c r="AD148" s="1"/>
      <c r="AE148" s="1"/>
      <c r="AF148" s="1"/>
    </row>
    <row r="149">
      <c r="A149" s="1"/>
      <c r="B149" s="2"/>
      <c r="C149" s="34"/>
      <c r="D149" s="2"/>
      <c r="E149" s="2"/>
      <c r="F149" s="2"/>
      <c r="G149" s="2"/>
      <c r="H149" s="2"/>
      <c r="I149" s="2"/>
      <c r="J149" s="2"/>
      <c r="K149" s="2"/>
      <c r="L149" s="1"/>
      <c r="M149" s="2"/>
      <c r="N149" s="2"/>
      <c r="O149" s="2"/>
      <c r="P149" s="2"/>
      <c r="Q149" s="2"/>
      <c r="R149" s="2"/>
      <c r="S149" s="2"/>
      <c r="T149" s="1"/>
      <c r="U149" s="2"/>
      <c r="V149" s="1"/>
      <c r="W149" s="1"/>
      <c r="X149" s="2"/>
      <c r="Y149" s="2"/>
      <c r="Z149" s="2"/>
      <c r="AA149" s="2"/>
      <c r="AB149" s="1"/>
      <c r="AC149" s="1"/>
      <c r="AD149" s="1"/>
      <c r="AE149" s="1"/>
      <c r="AF149" s="1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1"/>
      <c r="AC150" s="1"/>
      <c r="AD150" s="1"/>
      <c r="AE150" s="1"/>
      <c r="AF150" s="1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1"/>
      <c r="AC151" s="1"/>
      <c r="AD151" s="1"/>
      <c r="AE151" s="1"/>
      <c r="AF151" s="1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1"/>
      <c r="AC152" s="1"/>
      <c r="AD152" s="1"/>
      <c r="AE152" s="1"/>
      <c r="AF152" s="1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1"/>
      <c r="AC153" s="1"/>
      <c r="AD153" s="1"/>
      <c r="AE153" s="1"/>
      <c r="AF153" s="1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1"/>
      <c r="AC154" s="1"/>
      <c r="AD154" s="1"/>
      <c r="AE154" s="1"/>
      <c r="AF154" s="1"/>
    </row>
    <row r="155">
      <c r="A155" s="1"/>
      <c r="B155" s="2"/>
      <c r="C155" s="2"/>
      <c r="D155" s="2"/>
      <c r="E155" s="2"/>
      <c r="F155" s="2"/>
      <c r="G155" s="2"/>
      <c r="H155" s="2"/>
      <c r="I155" s="35"/>
      <c r="J155" s="2"/>
      <c r="K155" s="2"/>
      <c r="L155" s="1"/>
      <c r="M155" s="2"/>
      <c r="N155" s="2"/>
      <c r="O155" s="2"/>
      <c r="P155" s="2"/>
      <c r="Q155" s="2"/>
      <c r="R155" s="2"/>
      <c r="S155" s="2"/>
      <c r="T155" s="2"/>
      <c r="U155" s="35"/>
      <c r="V155" s="2"/>
      <c r="W155" s="2"/>
      <c r="X155" s="2"/>
      <c r="Y155" s="2"/>
      <c r="Z155" s="2"/>
      <c r="AA155" s="2"/>
      <c r="AB155" s="1"/>
      <c r="AC155" s="1"/>
      <c r="AD155" s="1"/>
      <c r="AE155" s="1"/>
      <c r="AF155" s="1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1"/>
      <c r="AC156" s="1"/>
      <c r="AD156" s="1"/>
      <c r="AE156" s="1"/>
      <c r="AF156" s="1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1"/>
      <c r="AA157" s="1"/>
      <c r="AB157" s="1"/>
      <c r="AC157" s="1"/>
      <c r="AD157" s="1"/>
      <c r="AE157" s="1"/>
      <c r="AF157" s="1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1"/>
      <c r="AA158" s="1"/>
      <c r="AB158" s="1"/>
      <c r="AC158" s="1"/>
      <c r="AD158" s="1"/>
      <c r="AE158" s="1"/>
      <c r="AF158" s="1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6"/>
      <c r="AD159" s="6"/>
      <c r="AE159" s="6"/>
      <c r="AF159" s="6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1"/>
      <c r="AC160" s="1"/>
      <c r="AD160" s="1"/>
      <c r="AE160" s="1"/>
      <c r="AF160" s="1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11"/>
      <c r="U161" s="2"/>
      <c r="V161" s="2"/>
      <c r="W161" s="2"/>
      <c r="X161" s="2"/>
      <c r="Y161" s="2"/>
      <c r="Z161" s="2"/>
      <c r="AA161" s="2"/>
      <c r="AB161" s="1"/>
      <c r="AC161" s="1"/>
      <c r="AD161" s="1"/>
      <c r="AE161" s="1"/>
      <c r="AF161" s="1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11"/>
      <c r="U162" s="2"/>
      <c r="V162" s="2"/>
      <c r="W162" s="2"/>
      <c r="X162" s="2"/>
      <c r="Y162" s="2"/>
      <c r="Z162" s="2"/>
      <c r="AA162" s="2"/>
      <c r="AB162" s="1"/>
      <c r="AC162" s="1"/>
      <c r="AD162" s="1"/>
      <c r="AE162" s="1"/>
      <c r="AF162" s="1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1"/>
      <c r="AC163" s="1"/>
      <c r="AD163" s="1"/>
      <c r="AE163" s="1"/>
      <c r="AF163" s="1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1"/>
      <c r="AD164" s="1"/>
      <c r="AE164" s="1"/>
      <c r="AF164" s="1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1"/>
      <c r="AC165" s="1"/>
      <c r="AD165" s="1"/>
      <c r="AE165" s="1"/>
      <c r="AF165" s="1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1"/>
      <c r="T166" s="2"/>
      <c r="U166" s="2"/>
      <c r="V166" s="1"/>
      <c r="W166" s="1"/>
      <c r="X166" s="2"/>
      <c r="Y166" s="2"/>
      <c r="Z166" s="2"/>
      <c r="AA166" s="2"/>
      <c r="AB166" s="1"/>
      <c r="AC166" s="1"/>
      <c r="AD166" s="1"/>
      <c r="AE166" s="1"/>
      <c r="AF166" s="1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1"/>
      <c r="AC167" s="1"/>
      <c r="AD167" s="1"/>
      <c r="AE167" s="1"/>
      <c r="AF167" s="1"/>
    </row>
    <row r="168">
      <c r="A168" s="1"/>
      <c r="B168" s="2"/>
      <c r="C168" s="8"/>
      <c r="D168" s="8"/>
      <c r="E168" s="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1"/>
      <c r="AC168" s="1"/>
      <c r="AD168" s="1"/>
      <c r="AE168" s="1"/>
      <c r="AF168" s="1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1"/>
      <c r="AC169" s="1"/>
      <c r="AD169" s="1"/>
      <c r="AE169" s="1"/>
      <c r="AF169" s="1"/>
    </row>
    <row r="170">
      <c r="A170" s="1"/>
      <c r="B170" s="2"/>
      <c r="C170" s="2"/>
      <c r="D170" s="2"/>
      <c r="E170" s="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1"/>
      <c r="AD170" s="1"/>
      <c r="AE170" s="1"/>
      <c r="AF170" s="1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1"/>
      <c r="AC171" s="1"/>
      <c r="AD171" s="1"/>
      <c r="AE171" s="1"/>
      <c r="AF171" s="1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1"/>
      <c r="M172" s="2"/>
      <c r="N172" s="35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1"/>
      <c r="AC172" s="1"/>
      <c r="AD172" s="1"/>
      <c r="AE172" s="1"/>
      <c r="AF172" s="1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1"/>
      <c r="AC173" s="1"/>
      <c r="AD173" s="1"/>
      <c r="AE173" s="1"/>
      <c r="AF173" s="1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1"/>
      <c r="AC174" s="1"/>
      <c r="AD174" s="1"/>
      <c r="AE174" s="1"/>
      <c r="AF174" s="1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1"/>
      <c r="M175" s="2"/>
      <c r="N175" s="2"/>
      <c r="O175" s="2"/>
      <c r="P175" s="2"/>
      <c r="Q175" s="2"/>
      <c r="R175" s="2"/>
      <c r="S175" s="2"/>
      <c r="T175" s="11"/>
      <c r="U175" s="2"/>
      <c r="V175" s="2"/>
      <c r="W175" s="2"/>
      <c r="X175" s="2"/>
      <c r="Y175" s="2"/>
      <c r="Z175" s="2"/>
      <c r="AA175" s="2"/>
      <c r="AB175" s="1"/>
      <c r="AC175" s="1"/>
      <c r="AD175" s="1"/>
      <c r="AE175" s="1"/>
      <c r="AF175" s="1"/>
    </row>
    <row r="176">
      <c r="A176" s="1"/>
      <c r="B176" s="2"/>
      <c r="C176" s="2"/>
      <c r="D176" s="24"/>
      <c r="E176" s="3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1"/>
      <c r="AC176" s="1"/>
      <c r="AD176" s="1"/>
      <c r="AE176" s="1"/>
      <c r="AF176" s="1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1"/>
      <c r="AC177" s="1"/>
      <c r="AD177" s="1"/>
      <c r="AE177" s="1"/>
      <c r="AF177" s="1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1"/>
      <c r="AC178" s="1"/>
      <c r="AD178" s="1"/>
      <c r="AE178" s="1"/>
      <c r="AF178" s="1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11"/>
      <c r="U179" s="2"/>
      <c r="V179" s="2"/>
      <c r="W179" s="2"/>
      <c r="X179" s="2"/>
      <c r="Y179" s="2"/>
      <c r="Z179" s="2"/>
      <c r="AA179" s="2"/>
      <c r="AB179" s="1"/>
      <c r="AC179" s="1"/>
      <c r="AD179" s="1"/>
      <c r="AE179" s="1"/>
      <c r="AF179" s="1"/>
    </row>
    <row r="180">
      <c r="A180" s="2"/>
      <c r="B180" s="2"/>
      <c r="C180" s="37"/>
      <c r="D180" s="2"/>
      <c r="E180" s="2"/>
      <c r="F180" s="2"/>
      <c r="G180" s="2"/>
      <c r="H180" s="2"/>
      <c r="I180" s="2"/>
      <c r="J180" s="2"/>
      <c r="K180" s="2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1"/>
      <c r="AC180" s="1"/>
      <c r="AD180" s="1"/>
      <c r="AE180" s="1"/>
      <c r="AF180" s="1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1"/>
      <c r="AC181" s="1"/>
      <c r="AD181" s="1"/>
      <c r="AE181" s="1"/>
      <c r="AF181" s="1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1"/>
      <c r="AC182" s="1"/>
      <c r="AD182" s="1"/>
      <c r="AE182" s="1"/>
      <c r="AF182" s="1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11"/>
      <c r="U183" s="2"/>
      <c r="V183" s="2"/>
      <c r="W183" s="2"/>
      <c r="X183" s="2"/>
      <c r="Y183" s="2"/>
      <c r="Z183" s="2"/>
      <c r="AA183" s="2"/>
      <c r="AB183" s="1"/>
      <c r="AC183" s="1"/>
      <c r="AD183" s="1"/>
      <c r="AE183" s="1"/>
      <c r="AF183" s="1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1"/>
      <c r="AC184" s="1"/>
      <c r="AD184" s="1"/>
      <c r="AE184" s="1"/>
      <c r="AF184" s="1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1"/>
      <c r="AC185" s="1"/>
      <c r="AD185" s="1"/>
      <c r="AE185" s="1"/>
      <c r="AF185" s="1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1"/>
      <c r="AA186" s="1"/>
      <c r="AB186" s="1"/>
      <c r="AC186" s="1"/>
      <c r="AD186" s="1"/>
      <c r="AE186" s="1"/>
      <c r="AF186" s="1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1"/>
      <c r="S187" s="2"/>
      <c r="T187" s="2"/>
      <c r="U187" s="2"/>
      <c r="V187" s="2"/>
      <c r="W187" s="2"/>
      <c r="X187" s="2"/>
      <c r="Y187" s="2"/>
      <c r="Z187" s="2"/>
      <c r="AA187" s="2"/>
      <c r="AB187" s="1"/>
      <c r="AC187" s="1"/>
      <c r="AD187" s="1"/>
      <c r="AE187" s="1"/>
      <c r="AF187" s="1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1"/>
      <c r="AC188" s="1"/>
      <c r="AD188" s="1"/>
      <c r="AE188" s="1"/>
      <c r="AF188" s="1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1"/>
      <c r="AC189" s="1"/>
      <c r="AD189" s="1"/>
      <c r="AE189" s="1"/>
      <c r="AF189" s="1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1"/>
      <c r="AA190" s="1"/>
      <c r="AB190" s="1"/>
      <c r="AC190" s="1"/>
      <c r="AD190" s="1"/>
      <c r="AE190" s="1"/>
      <c r="AF190" s="1"/>
    </row>
    <row r="191">
      <c r="A191" s="1"/>
      <c r="B191" s="2"/>
      <c r="C191" s="8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1"/>
      <c r="AA191" s="1"/>
      <c r="AB191" s="1"/>
      <c r="AC191" s="1"/>
      <c r="AD191" s="1"/>
      <c r="AE191" s="1"/>
      <c r="AF191" s="1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1"/>
      <c r="AD192" s="1"/>
      <c r="AE192" s="1"/>
      <c r="AF192" s="1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1"/>
      <c r="AA193" s="1"/>
      <c r="AB193" s="1"/>
      <c r="AC193" s="1"/>
      <c r="AD193" s="1"/>
      <c r="AE193" s="1"/>
      <c r="AF193" s="1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1"/>
      <c r="AA194" s="1"/>
      <c r="AB194" s="1"/>
      <c r="AC194" s="1"/>
      <c r="AD194" s="1"/>
      <c r="AE194" s="1"/>
      <c r="AF194" s="1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1"/>
      <c r="AC195" s="1"/>
      <c r="AD195" s="1"/>
      <c r="AE195" s="1"/>
      <c r="AF195" s="1"/>
    </row>
    <row r="196">
      <c r="A196" s="1"/>
      <c r="B196" s="2"/>
      <c r="C196" s="2"/>
      <c r="D196" s="8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1"/>
      <c r="AA196" s="1"/>
      <c r="AB196" s="1"/>
      <c r="AC196" s="1"/>
      <c r="AD196" s="1"/>
      <c r="AE196" s="1"/>
      <c r="AF196" s="1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1"/>
      <c r="AC197" s="1"/>
      <c r="AD197" s="1"/>
      <c r="AE197" s="1"/>
      <c r="AF197" s="1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1"/>
      <c r="AC198" s="1"/>
      <c r="AD198" s="1"/>
      <c r="AE198" s="1"/>
      <c r="AF198" s="1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1"/>
      <c r="AA199" s="1"/>
      <c r="AB199" s="1"/>
      <c r="AC199" s="1"/>
      <c r="AD199" s="1"/>
      <c r="AE199" s="1"/>
      <c r="AF199" s="1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1"/>
      <c r="AC200" s="1"/>
      <c r="AD200" s="1"/>
      <c r="AE200" s="1"/>
      <c r="AF200" s="1"/>
    </row>
    <row r="20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1"/>
      <c r="AD201" s="1"/>
      <c r="AE201" s="1"/>
      <c r="AF201" s="1"/>
    </row>
    <row r="20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33"/>
      <c r="W202" s="1"/>
      <c r="X202" s="2"/>
      <c r="Y202" s="2"/>
      <c r="Z202" s="2"/>
      <c r="AA202" s="2"/>
      <c r="AB202" s="1"/>
      <c r="AC202" s="1"/>
      <c r="AD202" s="1"/>
      <c r="AE202" s="1"/>
      <c r="AF202" s="1"/>
    </row>
    <row r="20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1"/>
      <c r="AC203" s="1"/>
      <c r="AD203" s="1"/>
      <c r="AE203" s="1"/>
      <c r="AF203" s="1"/>
    </row>
    <row r="204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1"/>
      <c r="AC204" s="1"/>
      <c r="AD204" s="1"/>
      <c r="AE204" s="1"/>
      <c r="AF204" s="1"/>
    </row>
    <row r="20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1"/>
      <c r="AC205" s="1"/>
      <c r="AD205" s="1"/>
      <c r="AE205" s="1"/>
      <c r="AF205" s="1"/>
    </row>
    <row r="20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1"/>
      <c r="AA206" s="1"/>
      <c r="AB206" s="1"/>
      <c r="AC206" s="1"/>
      <c r="AD206" s="1"/>
      <c r="AE206" s="1"/>
      <c r="AF206" s="1"/>
    </row>
    <row r="207">
      <c r="A207" s="1"/>
      <c r="B207" s="2"/>
      <c r="C207" s="2"/>
      <c r="D207" s="2"/>
      <c r="E207" s="2"/>
      <c r="F207" s="1"/>
      <c r="G207" s="2"/>
      <c r="H207" s="2"/>
      <c r="I207" s="2"/>
      <c r="J207" s="2"/>
      <c r="K207" s="2"/>
      <c r="L207" s="1"/>
      <c r="M207" s="1"/>
      <c r="N207" s="2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2"/>
      <c r="Z207" s="2"/>
      <c r="AA207" s="2"/>
      <c r="AB207" s="1"/>
      <c r="AC207" s="1"/>
      <c r="AD207" s="1"/>
      <c r="AE207" s="1"/>
      <c r="AF207" s="1"/>
    </row>
    <row r="208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1"/>
      <c r="AC208" s="1"/>
      <c r="AD208" s="1"/>
      <c r="AE208" s="1"/>
      <c r="AF208" s="1"/>
    </row>
    <row r="209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1"/>
      <c r="M209" s="2"/>
      <c r="N209" s="1"/>
      <c r="O209" s="1"/>
      <c r="P209" s="2"/>
      <c r="Q209" s="2"/>
      <c r="R209" s="2"/>
      <c r="S209" s="2"/>
      <c r="T209" s="1"/>
      <c r="U209" s="2"/>
      <c r="V209" s="2"/>
      <c r="W209" s="2"/>
      <c r="X209" s="2"/>
      <c r="Y209" s="2"/>
      <c r="Z209" s="2"/>
      <c r="AA209" s="2"/>
      <c r="AB209" s="1"/>
      <c r="AC209" s="1"/>
      <c r="AD209" s="1"/>
      <c r="AE209" s="1"/>
      <c r="AF209" s="1"/>
    </row>
    <row r="210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1"/>
      <c r="AC210" s="1"/>
      <c r="AD210" s="1"/>
      <c r="AE210" s="1"/>
      <c r="AF210" s="1"/>
    </row>
    <row r="21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1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1"/>
      <c r="AC211" s="1"/>
      <c r="AD211" s="1"/>
      <c r="AE211" s="1"/>
      <c r="AF211" s="1"/>
    </row>
    <row r="212">
      <c r="A212" s="1"/>
      <c r="B212" s="2"/>
      <c r="C212" s="2"/>
      <c r="D212" s="2"/>
      <c r="E212" s="3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1"/>
      <c r="AC212" s="1"/>
      <c r="AD212" s="1"/>
      <c r="AE212" s="1"/>
      <c r="AF212" s="1"/>
    </row>
    <row r="21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1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1"/>
      <c r="Y213" s="2"/>
      <c r="Z213" s="2"/>
      <c r="AA213" s="2"/>
      <c r="AB213" s="1"/>
      <c r="AC213" s="1"/>
      <c r="AD213" s="1"/>
      <c r="AE213" s="1"/>
      <c r="AF213" s="1"/>
    </row>
    <row r="214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1"/>
      <c r="AC214" s="1"/>
      <c r="AD214" s="1"/>
      <c r="AE214" s="1"/>
      <c r="AF214" s="1"/>
    </row>
    <row r="2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1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1"/>
      <c r="AC215" s="1"/>
      <c r="AD215" s="1"/>
      <c r="AE215" s="1"/>
      <c r="AF215" s="1"/>
    </row>
    <row r="21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1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1"/>
      <c r="AA216" s="1"/>
      <c r="AB216" s="1"/>
      <c r="AC216" s="1"/>
      <c r="AD216" s="1"/>
      <c r="AE216" s="1"/>
      <c r="AF216" s="1"/>
    </row>
    <row r="217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1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"/>
      <c r="AA217" s="1"/>
      <c r="AB217" s="1"/>
      <c r="AC217" s="1"/>
      <c r="AD217" s="1"/>
      <c r="AE217" s="1"/>
      <c r="AF217" s="1"/>
    </row>
    <row r="218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1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1"/>
      <c r="AC218" s="1"/>
      <c r="AD218" s="1"/>
      <c r="AE218" s="1"/>
      <c r="AF218" s="1"/>
    </row>
    <row r="219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1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"/>
      <c r="AA219" s="1"/>
      <c r="AB219" s="1"/>
      <c r="AC219" s="1"/>
      <c r="AD219" s="1"/>
      <c r="AE219" s="1"/>
      <c r="AF219" s="1"/>
    </row>
    <row r="220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1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1"/>
      <c r="AC220" s="1"/>
      <c r="AD220" s="1"/>
      <c r="AE220" s="1"/>
      <c r="AF220" s="1"/>
    </row>
    <row r="221">
      <c r="A221" s="1"/>
      <c r="B221" s="2"/>
      <c r="C221" s="2"/>
      <c r="D221" s="2"/>
      <c r="E221" s="2"/>
      <c r="F221" s="2"/>
      <c r="G221" s="2"/>
      <c r="H221" s="9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"/>
      <c r="AA221" s="1"/>
      <c r="AB221" s="1"/>
      <c r="AC221" s="1"/>
      <c r="AD221" s="1"/>
      <c r="AE221" s="1"/>
      <c r="AF221" s="1"/>
    </row>
    <row r="22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1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"/>
      <c r="AA222" s="1"/>
      <c r="AB222" s="1"/>
      <c r="AC222" s="1"/>
      <c r="AD222" s="1"/>
      <c r="AE222" s="1"/>
      <c r="AF222" s="1"/>
    </row>
    <row r="22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1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"/>
      <c r="AA223" s="1"/>
      <c r="AB223" s="1"/>
      <c r="AC223" s="1"/>
      <c r="AD223" s="1"/>
      <c r="AE223" s="1"/>
      <c r="AF223" s="1"/>
    </row>
    <row r="224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1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1"/>
      <c r="AC224" s="1"/>
      <c r="AD224" s="1"/>
      <c r="AE224" s="1"/>
      <c r="AF224" s="1"/>
    </row>
    <row r="2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1"/>
      <c r="M225" s="2"/>
      <c r="N225" s="2"/>
      <c r="O225" s="2"/>
      <c r="P225" s="2"/>
      <c r="Q225" s="2"/>
      <c r="R225" s="2"/>
      <c r="S225" s="2"/>
      <c r="T225" s="2"/>
      <c r="U225" s="1"/>
      <c r="V225" s="2"/>
      <c r="W225" s="2"/>
      <c r="X225" s="2"/>
      <c r="Y225" s="2"/>
      <c r="Z225" s="2"/>
      <c r="AA225" s="2"/>
      <c r="AB225" s="1"/>
      <c r="AC225" s="1"/>
      <c r="AD225" s="1"/>
      <c r="AE225" s="1"/>
      <c r="AF225" s="1"/>
    </row>
    <row r="2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1"/>
      <c r="AC226" s="1"/>
      <c r="AD226" s="1"/>
      <c r="AE226" s="1"/>
      <c r="AF226" s="1"/>
    </row>
    <row r="227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1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1"/>
      <c r="AB227" s="1"/>
      <c r="AC227" s="1"/>
      <c r="AD227" s="1"/>
      <c r="AE227" s="1"/>
      <c r="AF227" s="1"/>
    </row>
    <row r="228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1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1"/>
      <c r="AB228" s="1"/>
      <c r="AC228" s="1"/>
      <c r="AD228" s="1"/>
      <c r="AE228" s="1"/>
      <c r="AF228" s="1"/>
    </row>
    <row r="229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1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1"/>
      <c r="AB229" s="1"/>
      <c r="AC229" s="1"/>
      <c r="AD229" s="1"/>
      <c r="AE229" s="1"/>
      <c r="AF229" s="1"/>
    </row>
    <row r="230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1"/>
      <c r="AC230" s="1"/>
      <c r="AD230" s="1"/>
      <c r="AE230" s="1"/>
      <c r="AF230" s="1"/>
    </row>
    <row r="23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1"/>
      <c r="AC231" s="1"/>
      <c r="AD231" s="1"/>
      <c r="AE231" s="1"/>
      <c r="AF231" s="1"/>
    </row>
    <row r="23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1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1"/>
      <c r="AC232" s="1"/>
      <c r="AD232" s="1"/>
      <c r="AE232" s="1"/>
      <c r="AF232" s="1"/>
    </row>
    <row r="23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1"/>
      <c r="AC233" s="1"/>
      <c r="AD233" s="1"/>
      <c r="AE233" s="1"/>
      <c r="AF233" s="1"/>
    </row>
    <row r="234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1"/>
      <c r="M234" s="2"/>
      <c r="N234" s="2"/>
      <c r="O234" s="2"/>
      <c r="P234" s="2"/>
      <c r="Q234" s="2"/>
      <c r="R234" s="2"/>
      <c r="S234" s="2"/>
      <c r="T234" s="2"/>
      <c r="U234" s="2"/>
      <c r="V234" s="1"/>
      <c r="W234" s="1"/>
      <c r="X234" s="2"/>
      <c r="Y234" s="2"/>
      <c r="Z234" s="2"/>
      <c r="AA234" s="2"/>
      <c r="AB234" s="1"/>
      <c r="AC234" s="1"/>
      <c r="AD234" s="1"/>
      <c r="AE234" s="1"/>
      <c r="AF234" s="1"/>
    </row>
    <row r="2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1"/>
      <c r="AC235" s="1"/>
      <c r="AD235" s="1"/>
      <c r="AE235" s="1"/>
      <c r="AF235" s="1"/>
    </row>
    <row r="23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1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1"/>
      <c r="AC236" s="1"/>
      <c r="AD236" s="1"/>
      <c r="AE236" s="1"/>
      <c r="AF236" s="1"/>
    </row>
    <row r="237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1"/>
      <c r="M237" s="2"/>
      <c r="N237" s="2"/>
      <c r="O237" s="2"/>
      <c r="P237" s="2"/>
      <c r="Q237" s="2"/>
      <c r="R237" s="2"/>
      <c r="S237" s="2"/>
      <c r="T237" s="2"/>
      <c r="U237" s="2"/>
      <c r="V237" s="1"/>
      <c r="W237" s="1"/>
      <c r="X237" s="2"/>
      <c r="Y237" s="2"/>
      <c r="Z237" s="2"/>
      <c r="AA237" s="2"/>
      <c r="AB237" s="1"/>
      <c r="AC237" s="1"/>
      <c r="AD237" s="1"/>
      <c r="AE237" s="1"/>
      <c r="AF237" s="1"/>
    </row>
    <row r="238">
      <c r="A238" s="1"/>
      <c r="B238" s="2"/>
      <c r="C238" s="2"/>
      <c r="D238" s="11"/>
      <c r="E238" s="1"/>
      <c r="F238" s="2"/>
      <c r="G238" s="2"/>
      <c r="H238" s="2"/>
      <c r="I238" s="2"/>
      <c r="J238" s="2"/>
      <c r="K238" s="2"/>
      <c r="L238" s="1"/>
      <c r="M238" s="2"/>
      <c r="N238" s="1"/>
      <c r="O238" s="1"/>
      <c r="P238" s="1"/>
      <c r="Q238" s="1"/>
      <c r="R238" s="1"/>
      <c r="S238" s="1"/>
      <c r="T238" s="1"/>
      <c r="U238" s="2"/>
      <c r="V238" s="1"/>
      <c r="W238" s="1"/>
      <c r="X238" s="2"/>
      <c r="Y238" s="2"/>
      <c r="Z238" s="2"/>
      <c r="AA238" s="2"/>
      <c r="AB238" s="1"/>
      <c r="AC238" s="1"/>
      <c r="AD238" s="1"/>
      <c r="AE238" s="1"/>
      <c r="AF238" s="1"/>
    </row>
    <row r="239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1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1"/>
      <c r="AC239" s="1"/>
      <c r="AD239" s="1"/>
      <c r="AE239" s="1"/>
      <c r="AF239" s="1"/>
    </row>
    <row r="240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1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1"/>
      <c r="X240" s="2"/>
      <c r="Y240" s="2"/>
      <c r="Z240" s="2"/>
      <c r="AA240" s="2"/>
      <c r="AB240" s="1"/>
      <c r="AC240" s="1"/>
      <c r="AD240" s="1"/>
      <c r="AE240" s="1"/>
      <c r="AF240" s="1"/>
    </row>
    <row r="24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1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1"/>
      <c r="X241" s="2"/>
      <c r="Y241" s="2"/>
      <c r="Z241" s="2"/>
      <c r="AA241" s="2"/>
      <c r="AB241" s="1"/>
      <c r="AC241" s="1"/>
      <c r="AD241" s="1"/>
      <c r="AE241" s="1"/>
      <c r="AF241" s="1"/>
    </row>
    <row r="242">
      <c r="A242" s="1"/>
      <c r="B242" s="2"/>
      <c r="C242" s="2"/>
      <c r="D242" s="2"/>
      <c r="E242" s="2"/>
      <c r="F242" s="2"/>
      <c r="G242" s="2"/>
      <c r="H242" s="2"/>
      <c r="I242" s="2"/>
      <c r="J242" s="1"/>
      <c r="K242" s="2"/>
      <c r="L242" s="1"/>
      <c r="M242" s="2"/>
      <c r="N242" s="1"/>
      <c r="O242" s="1"/>
      <c r="P242" s="1"/>
      <c r="Q242" s="1"/>
      <c r="R242" s="1"/>
      <c r="S242" s="1"/>
      <c r="T242" s="1"/>
      <c r="U242" s="2"/>
      <c r="V242" s="1"/>
      <c r="W242" s="1"/>
      <c r="X242" s="2"/>
      <c r="Y242" s="2"/>
      <c r="Z242" s="2"/>
      <c r="AA242" s="2"/>
      <c r="AB242" s="1"/>
      <c r="AC242" s="1"/>
      <c r="AD242" s="1"/>
      <c r="AE242" s="1"/>
      <c r="AF242" s="1"/>
    </row>
    <row r="24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1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1"/>
      <c r="AC243" s="1"/>
      <c r="AD243" s="1"/>
      <c r="AE243" s="1"/>
      <c r="AF243" s="1"/>
    </row>
    <row r="244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1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1"/>
      <c r="Y244" s="2"/>
      <c r="Z244" s="2"/>
      <c r="AA244" s="2"/>
      <c r="AB244" s="1"/>
      <c r="AC244" s="1"/>
      <c r="AD244" s="1"/>
      <c r="AE244" s="1"/>
      <c r="AF244" s="1"/>
    </row>
    <row r="2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1"/>
      <c r="M245" s="2"/>
      <c r="N245" s="2"/>
      <c r="O245" s="2"/>
      <c r="P245" s="2"/>
      <c r="Q245" s="2"/>
      <c r="R245" s="2"/>
      <c r="S245" s="2"/>
      <c r="T245" s="8"/>
      <c r="U245" s="8"/>
      <c r="V245" s="2"/>
      <c r="W245" s="1"/>
      <c r="X245" s="1"/>
      <c r="Y245" s="2"/>
      <c r="Z245" s="1"/>
      <c r="AA245" s="1"/>
      <c r="AB245" s="1"/>
      <c r="AC245" s="1"/>
      <c r="AD245" s="1"/>
      <c r="AE245" s="1"/>
      <c r="AF245" s="1"/>
    </row>
    <row r="24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8"/>
      <c r="U246" s="8"/>
      <c r="V246" s="2"/>
      <c r="W246" s="1"/>
      <c r="X246" s="1"/>
      <c r="Y246" s="2"/>
      <c r="Z246" s="2"/>
      <c r="AA246" s="2"/>
      <c r="AB246" s="2"/>
      <c r="AC246" s="1"/>
      <c r="AD246" s="1"/>
      <c r="AE246" s="1"/>
      <c r="AF246" s="1"/>
    </row>
    <row r="247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1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1"/>
      <c r="Y247" s="2"/>
      <c r="Z247" s="1"/>
      <c r="AA247" s="1"/>
      <c r="AB247" s="1"/>
      <c r="AC247" s="1"/>
      <c r="AD247" s="1"/>
      <c r="AE247" s="1"/>
      <c r="AF247" s="1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1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1"/>
      <c r="AD248" s="1"/>
      <c r="AE248" s="1"/>
      <c r="AF248" s="1"/>
    </row>
    <row r="249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1"/>
      <c r="M249" s="39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1"/>
      <c r="AD249" s="1"/>
      <c r="AE249" s="1"/>
      <c r="AF249" s="1"/>
    </row>
    <row r="250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1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2"/>
      <c r="Z250" s="2"/>
      <c r="AA250" s="2"/>
      <c r="AB250" s="1"/>
      <c r="AC250" s="1"/>
      <c r="AD250" s="1"/>
      <c r="AE250" s="1"/>
      <c r="AF250" s="1"/>
    </row>
    <row r="25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1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1"/>
      <c r="AD251" s="1"/>
      <c r="AE251" s="1"/>
      <c r="AF251" s="1"/>
    </row>
    <row r="25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1"/>
      <c r="AC252" s="1"/>
      <c r="AD252" s="1"/>
      <c r="AE252" s="1"/>
      <c r="AF252" s="1"/>
    </row>
    <row r="25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1"/>
      <c r="AC253" s="1"/>
      <c r="AD253" s="1"/>
      <c r="AE253" s="1"/>
      <c r="AF253" s="1"/>
    </row>
    <row r="254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11"/>
      <c r="U254" s="2"/>
      <c r="V254" s="2"/>
      <c r="W254" s="2"/>
      <c r="X254" s="2"/>
      <c r="Y254" s="2"/>
      <c r="Z254" s="2"/>
      <c r="AA254" s="2"/>
      <c r="AB254" s="1"/>
      <c r="AC254" s="1"/>
      <c r="AD254" s="1"/>
      <c r="AE254" s="1"/>
      <c r="AF254" s="1"/>
    </row>
    <row r="25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1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1"/>
      <c r="AD255" s="1"/>
      <c r="AE255" s="1"/>
      <c r="AF255" s="1"/>
    </row>
    <row r="25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1"/>
      <c r="AC256" s="1"/>
      <c r="AD256" s="1"/>
      <c r="AE256" s="1"/>
      <c r="AF256" s="1"/>
    </row>
    <row r="257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1"/>
      <c r="AD257" s="1"/>
      <c r="AE257" s="1"/>
      <c r="AF257" s="1"/>
    </row>
    <row r="258">
      <c r="A258" s="1"/>
      <c r="B258" s="2"/>
      <c r="C258" s="2"/>
      <c r="D258" s="2"/>
      <c r="E258" s="2"/>
      <c r="F258" s="2"/>
      <c r="G258" s="2"/>
      <c r="H258" s="2"/>
      <c r="I258" s="20"/>
      <c r="J258" s="2"/>
      <c r="K258" s="2"/>
      <c r="L258" s="2"/>
      <c r="M258" s="1"/>
      <c r="N258" s="1"/>
      <c r="O258" s="1"/>
      <c r="P258" s="1"/>
      <c r="Q258" s="1"/>
      <c r="R258" s="1"/>
      <c r="S258" s="1"/>
      <c r="T258" s="1"/>
      <c r="U258" s="2"/>
      <c r="V258" s="1"/>
      <c r="W258" s="1"/>
      <c r="X258" s="2"/>
      <c r="Y258" s="2"/>
      <c r="Z258" s="2"/>
      <c r="AA258" s="2"/>
      <c r="AB258" s="1"/>
      <c r="AC258" s="1"/>
      <c r="AD258" s="1"/>
      <c r="AE258" s="1"/>
      <c r="AF258" s="1"/>
    </row>
    <row r="259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1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1"/>
      <c r="AC259" s="1"/>
      <c r="AD259" s="1"/>
      <c r="AE259" s="1"/>
      <c r="AF259" s="1"/>
    </row>
    <row r="260">
      <c r="A260" s="1"/>
      <c r="B260" s="2"/>
      <c r="C260" s="1"/>
      <c r="D260" s="2"/>
      <c r="E260" s="2"/>
      <c r="F260" s="2"/>
      <c r="G260" s="2"/>
      <c r="H260" s="2"/>
      <c r="I260" s="2"/>
      <c r="J260" s="2"/>
      <c r="K260" s="2"/>
      <c r="L260" s="3"/>
      <c r="M260" s="2"/>
      <c r="N260" s="2"/>
      <c r="O260" s="2"/>
      <c r="P260" s="2"/>
      <c r="Q260" s="2"/>
      <c r="R260" s="2"/>
      <c r="S260" s="2"/>
      <c r="T260" s="33"/>
      <c r="U260" s="2"/>
      <c r="V260" s="2"/>
      <c r="W260" s="2"/>
      <c r="X260" s="2"/>
      <c r="Y260" s="2"/>
      <c r="Z260" s="2"/>
      <c r="AA260" s="2"/>
      <c r="AB260" s="2"/>
      <c r="AC260" s="1"/>
      <c r="AD260" s="1"/>
      <c r="AE260" s="1"/>
      <c r="AF260" s="1"/>
    </row>
    <row r="26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11"/>
      <c r="U261" s="2"/>
      <c r="V261" s="2"/>
      <c r="W261" s="2"/>
      <c r="X261" s="2"/>
      <c r="Y261" s="2"/>
      <c r="Z261" s="2"/>
      <c r="AA261" s="2"/>
      <c r="AB261" s="2"/>
      <c r="AC261" s="1"/>
      <c r="AD261" s="1"/>
      <c r="AE261" s="1"/>
      <c r="AF261" s="1"/>
    </row>
    <row r="26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"/>
      <c r="AA262" s="1"/>
      <c r="AB262" s="1"/>
      <c r="AC262" s="1"/>
      <c r="AD262" s="1"/>
      <c r="AE262" s="1"/>
      <c r="AF262" s="1"/>
    </row>
    <row r="26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1"/>
      <c r="AC263" s="1"/>
      <c r="AD263" s="1"/>
      <c r="AE263" s="1"/>
      <c r="AF263" s="1"/>
    </row>
    <row r="264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1"/>
      <c r="M264" s="2"/>
      <c r="N264" s="2"/>
      <c r="O264" s="2"/>
      <c r="P264" s="1"/>
      <c r="Q264" s="2"/>
      <c r="R264" s="2"/>
      <c r="S264" s="2"/>
      <c r="T264" s="11"/>
      <c r="U264" s="2"/>
      <c r="V264" s="2"/>
      <c r="W264" s="2"/>
      <c r="X264" s="2"/>
      <c r="Y264" s="2"/>
      <c r="Z264" s="2"/>
      <c r="AA264" s="2"/>
      <c r="AB264" s="1"/>
      <c r="AC264" s="1"/>
      <c r="AD264" s="1"/>
      <c r="AE264" s="1"/>
      <c r="AF264" s="1"/>
    </row>
    <row r="26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"/>
      <c r="AA265" s="1"/>
      <c r="AB265" s="1"/>
      <c r="AC265" s="1"/>
      <c r="AD265" s="1"/>
      <c r="AE265" s="1"/>
      <c r="AF265" s="1"/>
    </row>
    <row r="26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"/>
      <c r="AA266" s="1"/>
      <c r="AB266" s="1"/>
      <c r="AC266" s="1"/>
      <c r="AD266" s="1"/>
      <c r="AE266" s="1"/>
      <c r="AF266" s="1"/>
    </row>
    <row r="267">
      <c r="A267" s="2"/>
      <c r="B267" s="2"/>
      <c r="C267" s="2"/>
      <c r="D267" s="2"/>
      <c r="E267" s="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1"/>
      <c r="AC267" s="1"/>
      <c r="AD267" s="1"/>
      <c r="AE267" s="1"/>
      <c r="AF267" s="1"/>
    </row>
    <row r="268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1"/>
      <c r="Q268" s="2"/>
      <c r="R268" s="2"/>
      <c r="S268" s="2"/>
      <c r="T268" s="2"/>
      <c r="U268" s="2"/>
      <c r="V268" s="1"/>
      <c r="W268" s="2"/>
      <c r="X268" s="2"/>
      <c r="Y268" s="2"/>
      <c r="Z268" s="1"/>
      <c r="AA268" s="1"/>
      <c r="AB268" s="1"/>
      <c r="AC268" s="1"/>
      <c r="AD268" s="1"/>
      <c r="AE268" s="1"/>
      <c r="AF268" s="1"/>
    </row>
    <row r="269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8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1"/>
      <c r="AD269" s="1"/>
      <c r="AE269" s="1"/>
      <c r="AF269" s="1"/>
    </row>
    <row r="270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1"/>
      <c r="AC270" s="1"/>
      <c r="AD270" s="1"/>
      <c r="AE270" s="1"/>
      <c r="AF270" s="1"/>
    </row>
    <row r="27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1"/>
      <c r="M271" s="2"/>
      <c r="N271" s="2"/>
      <c r="O271" s="2"/>
      <c r="P271" s="2"/>
      <c r="Q271" s="2"/>
      <c r="R271" s="2"/>
      <c r="S271" s="2"/>
      <c r="T271" s="2"/>
      <c r="U271" s="1"/>
      <c r="V271" s="1"/>
      <c r="W271" s="1"/>
      <c r="X271" s="1"/>
      <c r="Y271" s="2"/>
      <c r="Z271" s="1"/>
      <c r="AA271" s="1"/>
      <c r="AB271" s="1"/>
      <c r="AC271" s="1"/>
      <c r="AD271" s="1"/>
      <c r="AE271" s="1"/>
      <c r="AF271" s="1"/>
    </row>
    <row r="27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"/>
      <c r="AA272" s="1"/>
      <c r="AB272" s="1"/>
      <c r="AC272" s="1"/>
      <c r="AD272" s="1"/>
      <c r="AE272" s="1"/>
      <c r="AF272" s="1"/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"/>
      <c r="AA273" s="1"/>
      <c r="AB273" s="1"/>
      <c r="AC273" s="1"/>
      <c r="AD273" s="1"/>
      <c r="AE273" s="1"/>
      <c r="AF273" s="1"/>
    </row>
    <row r="274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"/>
      <c r="AA274" s="1"/>
      <c r="AB274" s="1"/>
      <c r="AC274" s="1"/>
      <c r="AD274" s="1"/>
      <c r="AE274" s="1"/>
      <c r="AF274" s="1"/>
    </row>
    <row r="27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1"/>
      <c r="AC275" s="1"/>
      <c r="AD275" s="1"/>
      <c r="AE275" s="1"/>
      <c r="AF275" s="1"/>
    </row>
    <row r="27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2"/>
      <c r="Z276" s="1"/>
      <c r="AA276" s="1"/>
      <c r="AB276" s="1"/>
      <c r="AC276" s="1"/>
      <c r="AD276" s="1"/>
      <c r="AE276" s="1"/>
      <c r="AF276" s="1"/>
    </row>
    <row r="277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1"/>
      <c r="AC277" s="1"/>
      <c r="AD277" s="1"/>
      <c r="AE277" s="1"/>
      <c r="AF277" s="1"/>
    </row>
    <row r="278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1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2"/>
      <c r="Z278" s="2"/>
      <c r="AA278" s="2"/>
      <c r="AB278" s="1"/>
      <c r="AC278" s="1"/>
      <c r="AD278" s="1"/>
      <c r="AE278" s="1"/>
      <c r="AF278" s="1"/>
    </row>
    <row r="279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1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2"/>
      <c r="Z279" s="2"/>
      <c r="AA279" s="2"/>
      <c r="AB279" s="1"/>
      <c r="AC279" s="1"/>
      <c r="AD279" s="1"/>
      <c r="AE279" s="1"/>
      <c r="AF279" s="1"/>
    </row>
    <row r="280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1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2"/>
      <c r="Z280" s="2"/>
      <c r="AA280" s="2"/>
      <c r="AB280" s="1"/>
      <c r="AC280" s="1"/>
      <c r="AD280" s="1"/>
      <c r="AE280" s="1"/>
      <c r="AF280" s="1"/>
    </row>
    <row r="28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1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2"/>
      <c r="Z281" s="2"/>
      <c r="AA281" s="2"/>
      <c r="AB281" s="1"/>
      <c r="AC281" s="1"/>
      <c r="AD281" s="1"/>
      <c r="AE281" s="1"/>
      <c r="AF281" s="1"/>
    </row>
    <row r="28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1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2"/>
      <c r="Z282" s="2"/>
      <c r="AA282" s="2"/>
      <c r="AB282" s="1"/>
      <c r="AC282" s="1"/>
      <c r="AD282" s="1"/>
      <c r="AE282" s="1"/>
      <c r="AF282" s="1"/>
    </row>
    <row r="28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1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2"/>
      <c r="Z283" s="2"/>
      <c r="AA283" s="2"/>
      <c r="AB283" s="2"/>
      <c r="AC283" s="1"/>
      <c r="AD283" s="1"/>
      <c r="AE283" s="1"/>
      <c r="AF283" s="1"/>
    </row>
    <row r="284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1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2"/>
      <c r="Z284" s="2"/>
      <c r="AA284" s="2"/>
      <c r="AB284" s="2"/>
      <c r="AC284" s="1"/>
      <c r="AD284" s="1"/>
      <c r="AE284" s="1"/>
      <c r="AF284" s="1"/>
    </row>
    <row r="28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1"/>
      <c r="X285" s="2"/>
      <c r="Y285" s="2"/>
      <c r="Z285" s="2"/>
      <c r="AA285" s="2"/>
      <c r="AB285" s="1"/>
      <c r="AC285" s="1"/>
      <c r="AD285" s="1"/>
      <c r="AE285" s="1"/>
      <c r="AF285" s="1"/>
    </row>
    <row r="28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1"/>
      <c r="AC286" s="1"/>
      <c r="AD286" s="1"/>
      <c r="AE286" s="1"/>
      <c r="AF286" s="1"/>
    </row>
    <row r="287">
      <c r="A287" s="1"/>
      <c r="B287" s="2"/>
      <c r="C287" s="2"/>
      <c r="D287" s="2"/>
      <c r="E287" s="2"/>
      <c r="F287" s="2"/>
      <c r="G287" s="2"/>
      <c r="H287" s="2"/>
      <c r="I287" s="20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1"/>
      <c r="AD287" s="1"/>
      <c r="AE287" s="1"/>
      <c r="AF287" s="1"/>
    </row>
    <row r="288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1"/>
      <c r="AD288" s="1"/>
      <c r="AE288" s="1"/>
      <c r="AF288" s="1"/>
    </row>
    <row r="289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1"/>
      <c r="M289" s="2"/>
      <c r="N289" s="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1"/>
      <c r="AC289" s="1"/>
      <c r="AD289" s="1"/>
      <c r="AE289" s="1"/>
      <c r="AF289" s="1"/>
    </row>
    <row r="290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1"/>
      <c r="M290" s="2"/>
      <c r="N290" s="2"/>
      <c r="O290" s="1"/>
      <c r="P290" s="2"/>
      <c r="Q290" s="2"/>
      <c r="R290" s="2"/>
      <c r="S290" s="2"/>
      <c r="T290" s="2"/>
      <c r="U290" s="2"/>
      <c r="V290" s="1"/>
      <c r="W290" s="2"/>
      <c r="X290" s="2"/>
      <c r="Y290" s="2"/>
      <c r="Z290" s="2"/>
      <c r="AA290" s="2"/>
      <c r="AB290" s="1"/>
      <c r="AC290" s="1"/>
      <c r="AD290" s="1"/>
      <c r="AE290" s="1"/>
      <c r="AF290" s="1"/>
    </row>
    <row r="29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1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1"/>
      <c r="AC291" s="1"/>
      <c r="AD291" s="1"/>
      <c r="AE291" s="1"/>
      <c r="AF291" s="1"/>
    </row>
    <row r="29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1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1"/>
      <c r="AC292" s="1"/>
      <c r="AD292" s="1"/>
      <c r="AE292" s="1"/>
      <c r="AF292" s="1"/>
    </row>
    <row r="29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1"/>
      <c r="M293" s="2"/>
      <c r="N293" s="2"/>
      <c r="O293" s="2"/>
      <c r="P293" s="2"/>
      <c r="Q293" s="2"/>
      <c r="R293" s="2"/>
      <c r="S293" s="1"/>
      <c r="T293" s="2"/>
      <c r="U293" s="2"/>
      <c r="V293" s="2"/>
      <c r="W293" s="2"/>
      <c r="X293" s="2"/>
      <c r="Y293" s="2"/>
      <c r="Z293" s="2"/>
      <c r="AA293" s="2"/>
      <c r="AB293" s="2"/>
      <c r="AC293" s="1"/>
      <c r="AD293" s="1"/>
      <c r="AE293" s="1"/>
      <c r="AF293" s="1"/>
    </row>
    <row r="294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1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1"/>
      <c r="AD294" s="1"/>
      <c r="AE294" s="1"/>
      <c r="AF294" s="1"/>
    </row>
    <row r="29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1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1"/>
      <c r="AC295" s="1"/>
      <c r="AD295" s="1"/>
      <c r="AE295" s="1"/>
      <c r="AF295" s="1"/>
    </row>
    <row r="29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1"/>
      <c r="M296" s="2"/>
      <c r="N296" s="2"/>
      <c r="O296" s="1"/>
      <c r="P296" s="1"/>
      <c r="Q296" s="1"/>
      <c r="R296" s="1"/>
      <c r="S296" s="1"/>
      <c r="T296" s="11"/>
      <c r="U296" s="2"/>
      <c r="V296" s="1"/>
      <c r="W296" s="2"/>
      <c r="X296" s="2"/>
      <c r="Y296" s="2"/>
      <c r="Z296" s="2"/>
      <c r="AA296" s="2"/>
      <c r="AB296" s="1"/>
      <c r="AC296" s="1"/>
      <c r="AD296" s="1"/>
      <c r="AE296" s="1"/>
      <c r="AF296" s="1"/>
    </row>
    <row r="297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1"/>
      <c r="AC297" s="1"/>
      <c r="AD297" s="1"/>
      <c r="AE297" s="1"/>
      <c r="AF297" s="1"/>
    </row>
    <row r="298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1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1"/>
      <c r="AC298" s="1"/>
      <c r="AD298" s="1"/>
      <c r="AE298" s="1"/>
      <c r="AF298" s="1"/>
    </row>
    <row r="299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1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1"/>
      <c r="AC299" s="1"/>
      <c r="AD299" s="1"/>
      <c r="AE299" s="1"/>
      <c r="AF299" s="1"/>
    </row>
    <row r="300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1"/>
      <c r="AC300" s="1"/>
      <c r="AD300" s="1"/>
      <c r="AE300" s="1"/>
      <c r="AF300" s="1"/>
    </row>
    <row r="30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1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1"/>
      <c r="AC301" s="1"/>
      <c r="AD301" s="1"/>
      <c r="AE301" s="1"/>
      <c r="AF301" s="1"/>
    </row>
    <row r="30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1"/>
      <c r="AC302" s="1"/>
      <c r="AD302" s="1"/>
      <c r="AE302" s="1"/>
      <c r="AF302" s="1"/>
    </row>
    <row r="303">
      <c r="A303" s="1"/>
      <c r="B303" s="2"/>
      <c r="C303" s="40"/>
      <c r="D303" s="41"/>
      <c r="E303" s="42"/>
      <c r="F303" s="2"/>
      <c r="G303" s="2"/>
      <c r="H303" s="2"/>
      <c r="I303" s="2"/>
      <c r="J303" s="2"/>
      <c r="K303" s="2"/>
      <c r="L303" s="1"/>
      <c r="M303" s="2"/>
      <c r="N303" s="28"/>
      <c r="O303" s="2"/>
      <c r="P303" s="2"/>
      <c r="Q303" s="2"/>
      <c r="R303" s="2"/>
      <c r="S303" s="2"/>
      <c r="T303" s="8"/>
      <c r="U303" s="2"/>
      <c r="V303" s="2"/>
      <c r="W303" s="2"/>
      <c r="X303" s="2"/>
      <c r="Y303" s="2"/>
      <c r="Z303" s="2"/>
      <c r="AA303" s="2"/>
      <c r="AB303" s="1"/>
      <c r="AC303" s="1"/>
      <c r="AD303" s="1"/>
      <c r="AE303" s="1"/>
      <c r="AF303" s="1"/>
    </row>
    <row r="304">
      <c r="A304" s="1"/>
      <c r="B304" s="2"/>
      <c r="C304" s="40"/>
      <c r="D304" s="40"/>
      <c r="E304" s="40"/>
      <c r="F304" s="2"/>
      <c r="G304" s="2"/>
      <c r="H304" s="2"/>
      <c r="I304" s="28"/>
      <c r="J304" s="2"/>
      <c r="K304" s="2"/>
      <c r="L304" s="1"/>
      <c r="M304" s="2"/>
      <c r="N304" s="40"/>
      <c r="O304" s="2"/>
      <c r="P304" s="2"/>
      <c r="Q304" s="2"/>
      <c r="R304" s="2"/>
      <c r="S304" s="2"/>
      <c r="T304" s="8"/>
      <c r="U304" s="2"/>
      <c r="V304" s="2"/>
      <c r="W304" s="2"/>
      <c r="X304" s="2"/>
      <c r="Y304" s="2"/>
      <c r="Z304" s="2"/>
      <c r="AA304" s="2"/>
      <c r="AB304" s="1"/>
      <c r="AC304" s="1"/>
      <c r="AD304" s="1"/>
      <c r="AE304" s="1"/>
      <c r="AF304" s="1"/>
    </row>
    <row r="30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8"/>
      <c r="Z305" s="8"/>
      <c r="AA305" s="8"/>
      <c r="AB305" s="1"/>
      <c r="AC305" s="1"/>
      <c r="AD305" s="1"/>
      <c r="AE305" s="1"/>
      <c r="AF305" s="1"/>
    </row>
    <row r="306">
      <c r="A306" s="1"/>
      <c r="B306" s="2"/>
      <c r="C306" s="2"/>
      <c r="D306" s="2"/>
      <c r="E306" s="40"/>
      <c r="F306" s="2"/>
      <c r="G306" s="2"/>
      <c r="H306" s="2"/>
      <c r="I306" s="2"/>
      <c r="J306" s="2"/>
      <c r="K306" s="2"/>
      <c r="L306" s="1"/>
      <c r="M306" s="2"/>
      <c r="N306" s="40"/>
      <c r="O306" s="2"/>
      <c r="P306" s="2"/>
      <c r="Q306" s="2"/>
      <c r="R306" s="2"/>
      <c r="S306" s="2"/>
      <c r="T306" s="8"/>
      <c r="U306" s="2"/>
      <c r="V306" s="2"/>
      <c r="W306" s="2"/>
      <c r="X306" s="2"/>
      <c r="Y306" s="2"/>
      <c r="Z306" s="2"/>
      <c r="AA306" s="2"/>
      <c r="AB306" s="1"/>
      <c r="AC306" s="1"/>
      <c r="AD306" s="1"/>
      <c r="AE306" s="1"/>
      <c r="AF306" s="1"/>
    </row>
    <row r="307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1"/>
      <c r="M307" s="2"/>
      <c r="N307" s="40"/>
      <c r="O307" s="2"/>
      <c r="P307" s="2"/>
      <c r="Q307" s="2"/>
      <c r="R307" s="2"/>
      <c r="S307" s="2"/>
      <c r="T307" s="8"/>
      <c r="U307" s="2"/>
      <c r="V307" s="2"/>
      <c r="W307" s="2"/>
      <c r="X307" s="2"/>
      <c r="Y307" s="2"/>
      <c r="Z307" s="1"/>
      <c r="AA307" s="1"/>
      <c r="AB307" s="1"/>
      <c r="AC307" s="1"/>
      <c r="AD307" s="1"/>
      <c r="AE307" s="1"/>
      <c r="AF307" s="1"/>
    </row>
    <row r="308">
      <c r="A308" s="1"/>
      <c r="B308" s="2"/>
      <c r="C308" s="40"/>
      <c r="D308" s="40"/>
      <c r="E308" s="42"/>
      <c r="F308" s="2"/>
      <c r="G308" s="2"/>
      <c r="H308" s="2"/>
      <c r="I308" s="2"/>
      <c r="J308" s="2"/>
      <c r="K308" s="2"/>
      <c r="L308" s="1"/>
      <c r="M308" s="2"/>
      <c r="N308" s="40"/>
      <c r="O308" s="2"/>
      <c r="P308" s="2"/>
      <c r="Q308" s="2"/>
      <c r="R308" s="2"/>
      <c r="S308" s="2"/>
      <c r="T308" s="8"/>
      <c r="U308" s="2"/>
      <c r="V308" s="2"/>
      <c r="W308" s="2"/>
      <c r="X308" s="2"/>
      <c r="Y308" s="2"/>
      <c r="Z308" s="2"/>
      <c r="AA308" s="2"/>
      <c r="AB308" s="1"/>
      <c r="AC308" s="1"/>
      <c r="AD308" s="1"/>
      <c r="AE308" s="1"/>
      <c r="AF308" s="1"/>
    </row>
    <row r="309">
      <c r="A309" s="1"/>
      <c r="B309" s="2"/>
      <c r="C309" s="28"/>
      <c r="D309" s="28"/>
      <c r="E309" s="28"/>
      <c r="F309" s="2"/>
      <c r="G309" s="2"/>
      <c r="H309" s="2"/>
      <c r="I309" s="2"/>
      <c r="J309" s="2"/>
      <c r="K309" s="2"/>
      <c r="L309" s="1"/>
      <c r="M309" s="2"/>
      <c r="N309" s="40"/>
      <c r="O309" s="2"/>
      <c r="P309" s="2"/>
      <c r="Q309" s="2"/>
      <c r="R309" s="2"/>
      <c r="S309" s="2"/>
      <c r="T309" s="43"/>
      <c r="U309" s="2"/>
      <c r="V309" s="2"/>
      <c r="W309" s="2"/>
      <c r="X309" s="2"/>
      <c r="Y309" s="2"/>
      <c r="Z309" s="2"/>
      <c r="AA309" s="2"/>
      <c r="AB309" s="1"/>
      <c r="AC309" s="1"/>
      <c r="AD309" s="1"/>
      <c r="AE309" s="1"/>
      <c r="AF309" s="1"/>
    </row>
    <row r="310">
      <c r="A310" s="1"/>
      <c r="B310" s="2"/>
      <c r="C310" s="2"/>
      <c r="D310" s="2"/>
      <c r="E310" s="44"/>
      <c r="F310" s="2"/>
      <c r="G310" s="2"/>
      <c r="H310" s="2"/>
      <c r="I310" s="2"/>
      <c r="J310" s="2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2"/>
      <c r="Z310" s="2"/>
      <c r="AA310" s="2"/>
      <c r="AB310" s="1"/>
      <c r="AC310" s="1"/>
      <c r="AD310" s="1"/>
      <c r="AE310" s="1"/>
      <c r="AF310" s="1"/>
    </row>
    <row r="311">
      <c r="A311" s="1"/>
      <c r="B311" s="2"/>
      <c r="C311" s="2"/>
      <c r="D311" s="2"/>
      <c r="E311" s="2"/>
      <c r="F311" s="1"/>
      <c r="G311" s="2"/>
      <c r="H311" s="2"/>
      <c r="I311" s="2"/>
      <c r="J311" s="2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2"/>
      <c r="Z311" s="2"/>
      <c r="AA311" s="2"/>
      <c r="AB311" s="1"/>
      <c r="AC311" s="1"/>
      <c r="AD311" s="1"/>
      <c r="AE311" s="1"/>
      <c r="AF311" s="1"/>
    </row>
    <row r="312">
      <c r="A312" s="1"/>
      <c r="B312" s="2"/>
      <c r="C312" s="2"/>
      <c r="D312" s="2"/>
      <c r="E312" s="20"/>
      <c r="F312" s="2"/>
      <c r="G312" s="2"/>
      <c r="H312" s="2"/>
      <c r="I312" s="2"/>
      <c r="J312" s="2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"/>
      <c r="W312" s="2"/>
      <c r="X312" s="1"/>
      <c r="Y312" s="2"/>
      <c r="Z312" s="2"/>
      <c r="AA312" s="2"/>
      <c r="AB312" s="1"/>
      <c r="AC312" s="1"/>
      <c r="AD312" s="1"/>
      <c r="AE312" s="1"/>
      <c r="AF312" s="1"/>
    </row>
    <row r="313">
      <c r="A313" s="1"/>
      <c r="B313" s="2"/>
      <c r="C313" s="2"/>
      <c r="D313" s="2"/>
      <c r="E313" s="2"/>
      <c r="F313" s="1"/>
      <c r="G313" s="2"/>
      <c r="H313" s="2"/>
      <c r="I313" s="2"/>
      <c r="J313" s="2"/>
      <c r="K313" s="2"/>
      <c r="L313" s="1"/>
      <c r="M313" s="2"/>
      <c r="N313" s="2"/>
      <c r="O313" s="1"/>
      <c r="P313" s="1"/>
      <c r="Q313" s="1"/>
      <c r="R313" s="2"/>
      <c r="S313" s="1"/>
      <c r="T313" s="1"/>
      <c r="U313" s="1"/>
      <c r="V313" s="2"/>
      <c r="W313" s="2"/>
      <c r="X313" s="1"/>
      <c r="Y313" s="2"/>
      <c r="Z313" s="2"/>
      <c r="AA313" s="2"/>
      <c r="AB313" s="1"/>
      <c r="AC313" s="1"/>
      <c r="AD313" s="1"/>
      <c r="AE313" s="1"/>
      <c r="AF313" s="1"/>
    </row>
    <row r="314">
      <c r="A314" s="1"/>
      <c r="B314" s="2"/>
      <c r="C314" s="2"/>
      <c r="D314" s="2"/>
      <c r="E314" s="45"/>
      <c r="F314" s="2"/>
      <c r="G314" s="2"/>
      <c r="H314" s="2"/>
      <c r="I314" s="2"/>
      <c r="J314" s="2"/>
      <c r="K314" s="2"/>
      <c r="L314" s="1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2"/>
      <c r="Z314" s="2"/>
      <c r="AA314" s="2"/>
      <c r="AB314" s="1"/>
      <c r="AC314" s="1"/>
      <c r="AD314" s="1"/>
      <c r="AE314" s="1"/>
      <c r="AF314" s="1"/>
    </row>
    <row r="315">
      <c r="A315" s="1"/>
      <c r="B315" s="2"/>
      <c r="C315" s="2"/>
      <c r="D315" s="2"/>
      <c r="E315" s="8"/>
      <c r="F315" s="2"/>
      <c r="G315" s="2"/>
      <c r="H315" s="2"/>
      <c r="I315" s="2"/>
      <c r="J315" s="2"/>
      <c r="K315" s="2"/>
      <c r="L315" s="1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1"/>
      <c r="Y315" s="2"/>
      <c r="Z315" s="2"/>
      <c r="AA315" s="2"/>
      <c r="AB315" s="1"/>
      <c r="AC315" s="1"/>
      <c r="AD315" s="1"/>
      <c r="AE315" s="1"/>
      <c r="AF315" s="1"/>
    </row>
    <row r="31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2"/>
      <c r="Z316" s="2"/>
      <c r="AA316" s="2"/>
      <c r="AB316" s="1"/>
      <c r="AC316" s="1"/>
      <c r="AD316" s="1"/>
      <c r="AE316" s="1"/>
      <c r="AF316" s="1"/>
    </row>
    <row r="317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2"/>
      <c r="Z317" s="2"/>
      <c r="AA317" s="2"/>
      <c r="AB317" s="1"/>
      <c r="AC317" s="1"/>
      <c r="AD317" s="1"/>
      <c r="AE317" s="1"/>
      <c r="AF317" s="1"/>
    </row>
    <row r="318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2"/>
      <c r="Z318" s="2"/>
      <c r="AA318" s="2"/>
      <c r="AB318" s="1"/>
      <c r="AC318" s="1"/>
      <c r="AD318" s="1"/>
      <c r="AE318" s="1"/>
      <c r="AF318" s="1"/>
    </row>
    <row r="319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2"/>
      <c r="Z319" s="2"/>
      <c r="AA319" s="1"/>
      <c r="AB319" s="1"/>
      <c r="AC319" s="1"/>
      <c r="AD319" s="1"/>
      <c r="AE319" s="1"/>
      <c r="AF319" s="1"/>
    </row>
    <row r="320">
      <c r="A320" s="1"/>
      <c r="B320" s="2"/>
      <c r="C320" s="38"/>
      <c r="D320" s="2"/>
      <c r="E320" s="2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2"/>
      <c r="Z321" s="1"/>
      <c r="AA321" s="1"/>
      <c r="AB321" s="1"/>
      <c r="AC321" s="1"/>
      <c r="AD321" s="1"/>
      <c r="AE321" s="1"/>
      <c r="AF321" s="1"/>
    </row>
    <row r="32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2"/>
      <c r="Z322" s="2"/>
      <c r="AA322" s="1"/>
      <c r="AB322" s="1"/>
      <c r="AC322" s="1"/>
      <c r="AD322" s="1"/>
      <c r="AE322" s="1"/>
      <c r="AF322" s="1"/>
    </row>
    <row r="32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2"/>
      <c r="Z323" s="1"/>
      <c r="AA323" s="1"/>
      <c r="AB323" s="1"/>
      <c r="AC323" s="1"/>
      <c r="AD323" s="1"/>
      <c r="AE323" s="1"/>
      <c r="AF323" s="1"/>
    </row>
    <row r="324">
      <c r="A324" s="1"/>
      <c r="B324" s="2"/>
      <c r="C324" s="2"/>
      <c r="D324" s="2"/>
      <c r="E324" s="46"/>
      <c r="F324" s="2"/>
      <c r="G324" s="2"/>
      <c r="H324" s="2"/>
      <c r="I324" s="2"/>
      <c r="J324" s="2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2"/>
      <c r="C325" s="47"/>
      <c r="D325" s="47"/>
      <c r="E325" s="47"/>
      <c r="F325" s="1"/>
      <c r="G325" s="1"/>
      <c r="H325" s="2"/>
      <c r="I325" s="2"/>
      <c r="J325" s="1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2"/>
      <c r="Z325" s="2"/>
      <c r="AA325" s="1"/>
      <c r="AB325" s="1"/>
      <c r="AC325" s="1"/>
      <c r="AD325" s="1"/>
      <c r="AE325" s="1"/>
      <c r="AF325" s="1"/>
    </row>
    <row r="326">
      <c r="A326" s="1"/>
      <c r="B326" s="2"/>
      <c r="C326" s="28"/>
      <c r="D326" s="48"/>
      <c r="E326" s="28"/>
      <c r="F326" s="2"/>
      <c r="G326" s="2"/>
      <c r="H326" s="2"/>
      <c r="I326" s="49"/>
      <c r="J326" s="1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2"/>
      <c r="Z326" s="1"/>
      <c r="AA326" s="1"/>
      <c r="AB326" s="1"/>
      <c r="AC326" s="1"/>
      <c r="AD326" s="1"/>
      <c r="AE326" s="1"/>
      <c r="AF326" s="1"/>
    </row>
    <row r="327">
      <c r="A327" s="1"/>
      <c r="B327" s="2"/>
      <c r="C327" s="28"/>
      <c r="D327" s="48"/>
      <c r="E327" s="28"/>
      <c r="F327" s="1"/>
      <c r="G327" s="1"/>
      <c r="H327" s="1"/>
      <c r="I327" s="49"/>
      <c r="J327" s="1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2"/>
      <c r="Z327" s="1"/>
      <c r="AA327" s="1"/>
      <c r="AB327" s="1"/>
      <c r="AC327" s="1"/>
      <c r="AD327" s="1"/>
      <c r="AE327" s="1"/>
      <c r="AF327" s="1"/>
    </row>
    <row r="328">
      <c r="A328" s="1"/>
      <c r="B328" s="2"/>
      <c r="C328" s="2"/>
      <c r="D328" s="2"/>
      <c r="E328" s="50"/>
      <c r="F328" s="2"/>
      <c r="G328" s="2"/>
      <c r="H328" s="2"/>
      <c r="I328" s="2"/>
      <c r="J328" s="1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2"/>
      <c r="Z328" s="1"/>
      <c r="AA328" s="1"/>
      <c r="AB328" s="1"/>
      <c r="AC328" s="1"/>
      <c r="AD328" s="1"/>
      <c r="AE328" s="1"/>
      <c r="AF328" s="1"/>
    </row>
    <row r="329">
      <c r="A329" s="1"/>
      <c r="B329" s="2"/>
      <c r="C329" s="2"/>
      <c r="D329" s="24"/>
      <c r="E329" s="2"/>
      <c r="F329" s="2"/>
      <c r="G329" s="2"/>
      <c r="H329" s="2"/>
      <c r="I329" s="2"/>
      <c r="J329" s="2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2"/>
      <c r="Z329" s="2"/>
      <c r="AA329" s="2"/>
      <c r="AB329" s="1"/>
      <c r="AC329" s="1"/>
      <c r="AD329" s="1"/>
      <c r="AE329" s="1"/>
      <c r="AF329" s="1"/>
    </row>
    <row r="330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2"/>
      <c r="Z330" s="2"/>
      <c r="AA330" s="2"/>
      <c r="AB330" s="1"/>
      <c r="AC330" s="1"/>
      <c r="AD330" s="1"/>
      <c r="AE330" s="1"/>
      <c r="AF330" s="1"/>
    </row>
    <row r="33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2"/>
      <c r="Z331" s="2"/>
      <c r="AA331" s="2"/>
      <c r="AB331" s="1"/>
      <c r="AC331" s="1"/>
      <c r="AD331" s="1"/>
      <c r="AE331" s="1"/>
      <c r="AF331" s="1"/>
    </row>
    <row r="33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2"/>
      <c r="Z332" s="2"/>
      <c r="AA332" s="2"/>
      <c r="AB332" s="1"/>
      <c r="AC332" s="1"/>
      <c r="AD332" s="1"/>
      <c r="AE332" s="1"/>
      <c r="AF332" s="1"/>
    </row>
    <row r="33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2"/>
      <c r="Z333" s="2"/>
      <c r="AA333" s="2"/>
      <c r="AB333" s="1"/>
      <c r="AC333" s="1"/>
      <c r="AD333" s="1"/>
      <c r="AE333" s="1"/>
      <c r="AF333" s="1"/>
    </row>
    <row r="334">
      <c r="A334" s="1"/>
      <c r="B334" s="2"/>
      <c r="C334" s="2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2"/>
      <c r="Z334" s="2"/>
      <c r="AA334" s="2"/>
      <c r="AB334" s="1"/>
      <c r="AC334" s="1"/>
      <c r="AD334" s="1"/>
      <c r="AE334" s="1"/>
      <c r="AF334" s="1"/>
    </row>
    <row r="3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2"/>
      <c r="Z335" s="2"/>
      <c r="AA335" s="2"/>
      <c r="AB335" s="1"/>
      <c r="AC335" s="1"/>
      <c r="AD335" s="1"/>
      <c r="AE335" s="1"/>
      <c r="AF335" s="1"/>
    </row>
    <row r="33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2"/>
      <c r="Z336" s="2"/>
      <c r="AA336" s="2"/>
      <c r="AB336" s="1"/>
      <c r="AC336" s="1"/>
      <c r="AD336" s="1"/>
      <c r="AE336" s="1"/>
      <c r="AF336" s="1"/>
    </row>
    <row r="337">
      <c r="A337" s="1"/>
      <c r="B337" s="2"/>
      <c r="C337" s="2"/>
      <c r="D337" s="24"/>
      <c r="E337" s="2"/>
      <c r="F337" s="2"/>
      <c r="G337" s="2"/>
      <c r="H337" s="2"/>
      <c r="I337" s="2"/>
      <c r="J337" s="2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2"/>
      <c r="Z337" s="2"/>
      <c r="AA337" s="2"/>
      <c r="AB337" s="1"/>
      <c r="AC337" s="1"/>
      <c r="AD337" s="1"/>
      <c r="AE337" s="1"/>
      <c r="AF337" s="1"/>
    </row>
    <row r="338">
      <c r="A338" s="1"/>
      <c r="B338" s="2"/>
      <c r="C338" s="2"/>
      <c r="D338" s="2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2"/>
      <c r="Z338" s="2"/>
      <c r="AA338" s="2"/>
      <c r="AB338" s="1"/>
      <c r="AC338" s="1"/>
      <c r="AD338" s="1"/>
      <c r="AE338" s="1"/>
      <c r="AF338" s="1"/>
    </row>
    <row r="339">
      <c r="A339" s="1"/>
      <c r="B339" s="2"/>
      <c r="C339" s="2"/>
      <c r="D339" s="51"/>
      <c r="E339" s="2"/>
      <c r="F339" s="1"/>
      <c r="G339" s="2"/>
      <c r="H339" s="2"/>
      <c r="I339" s="2"/>
      <c r="J339" s="2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2"/>
      <c r="Z339" s="2"/>
      <c r="AA339" s="2"/>
      <c r="AB339" s="1"/>
      <c r="AC339" s="1"/>
      <c r="AD339" s="1"/>
      <c r="AE339" s="1"/>
      <c r="AF339" s="1"/>
    </row>
    <row r="340">
      <c r="A340" s="1"/>
      <c r="B340" s="2"/>
      <c r="C340" s="2"/>
      <c r="D340" s="24"/>
      <c r="E340" s="2"/>
      <c r="F340" s="2"/>
      <c r="G340" s="2"/>
      <c r="H340" s="2"/>
      <c r="I340" s="2"/>
      <c r="J340" s="2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2"/>
      <c r="Z340" s="2"/>
      <c r="AA340" s="2"/>
      <c r="AB340" s="1"/>
      <c r="AC340" s="1"/>
      <c r="AD340" s="1"/>
      <c r="AE340" s="1"/>
      <c r="AF340" s="1"/>
    </row>
    <row r="341">
      <c r="A341" s="1"/>
      <c r="B341" s="2"/>
      <c r="C341" s="2"/>
      <c r="D341" s="2"/>
      <c r="E341" s="2"/>
      <c r="F341" s="1"/>
      <c r="G341" s="1"/>
      <c r="H341" s="1"/>
      <c r="I341" s="2"/>
      <c r="J341" s="1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2"/>
      <c r="Z341" s="2"/>
      <c r="AA341" s="2"/>
      <c r="AB341" s="1"/>
      <c r="AC341" s="1"/>
      <c r="AD341" s="1"/>
      <c r="AE341" s="1"/>
      <c r="AF341" s="1"/>
    </row>
    <row r="342">
      <c r="A342" s="1"/>
      <c r="B342" s="2"/>
      <c r="C342" s="2"/>
      <c r="D342" s="24"/>
      <c r="E342" s="2"/>
      <c r="F342" s="2"/>
      <c r="G342" s="2"/>
      <c r="H342" s="2"/>
      <c r="I342" s="2"/>
      <c r="J342" s="2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2"/>
      <c r="Z342" s="2"/>
      <c r="AA342" s="2"/>
      <c r="AB342" s="1"/>
      <c r="AC342" s="1"/>
      <c r="AD342" s="1"/>
      <c r="AE342" s="1"/>
      <c r="AF342" s="1"/>
    </row>
    <row r="343">
      <c r="A343" s="1"/>
      <c r="B343" s="2"/>
      <c r="C343" s="2"/>
      <c r="D343" s="24"/>
      <c r="E343" s="2"/>
      <c r="F343" s="2"/>
      <c r="G343" s="2"/>
      <c r="H343" s="2"/>
      <c r="I343" s="2"/>
      <c r="J343" s="2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2"/>
      <c r="Z343" s="2"/>
      <c r="AA343" s="2"/>
      <c r="AB343" s="1"/>
      <c r="AC343" s="1"/>
      <c r="AD343" s="1"/>
      <c r="AE343" s="1"/>
      <c r="AF343" s="1"/>
    </row>
    <row r="344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2"/>
      <c r="Z344" s="2"/>
      <c r="AA344" s="2"/>
      <c r="AB344" s="1"/>
      <c r="AC344" s="1"/>
      <c r="AD344" s="1"/>
      <c r="AE344" s="1"/>
      <c r="AF344" s="1"/>
    </row>
    <row r="34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2"/>
      <c r="Z345" s="2"/>
      <c r="AA345" s="2"/>
      <c r="AB345" s="1"/>
      <c r="AC345" s="1"/>
      <c r="AD345" s="1"/>
      <c r="AE345" s="1"/>
      <c r="AF345" s="1"/>
    </row>
    <row r="34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2"/>
      <c r="Z346" s="2"/>
      <c r="AA346" s="2"/>
      <c r="AB346" s="1"/>
      <c r="AC346" s="1"/>
      <c r="AD346" s="1"/>
      <c r="AE346" s="1"/>
      <c r="AF346" s="1"/>
    </row>
    <row r="347">
      <c r="A347" s="1"/>
      <c r="B347" s="2"/>
      <c r="C347" s="2"/>
      <c r="D347" s="2"/>
      <c r="E347" s="2"/>
      <c r="F347" s="2"/>
      <c r="G347" s="2"/>
      <c r="H347" s="1"/>
      <c r="I347" s="1"/>
      <c r="J347" s="1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2"/>
      <c r="Z347" s="2"/>
      <c r="AA347" s="2"/>
      <c r="AB347" s="1"/>
      <c r="AC347" s="1"/>
      <c r="AD347" s="1"/>
      <c r="AE347" s="1"/>
      <c r="AF347" s="1"/>
    </row>
    <row r="348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2"/>
      <c r="Z348" s="2"/>
      <c r="AA348" s="2"/>
      <c r="AB348" s="1"/>
      <c r="AC348" s="1"/>
      <c r="AD348" s="1"/>
      <c r="AE348" s="1"/>
      <c r="AF348" s="1"/>
    </row>
    <row r="349">
      <c r="A349" s="1"/>
      <c r="B349" s="2"/>
      <c r="C349" s="2"/>
      <c r="D349" s="2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2"/>
      <c r="Z349" s="2"/>
      <c r="AA349" s="2"/>
      <c r="AB349" s="1"/>
      <c r="AC349" s="1"/>
      <c r="AD349" s="1"/>
      <c r="AE349" s="1"/>
      <c r="AF349" s="1"/>
    </row>
    <row r="350">
      <c r="A350" s="1"/>
      <c r="B350" s="2"/>
      <c r="C350" s="2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2"/>
      <c r="Z350" s="2"/>
      <c r="AA350" s="2"/>
      <c r="AB350" s="1"/>
      <c r="AC350" s="1"/>
      <c r="AD350" s="1"/>
      <c r="AE350" s="1"/>
      <c r="AF350" s="1"/>
    </row>
    <row r="35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2"/>
      <c r="Z351" s="2"/>
      <c r="AA351" s="2"/>
      <c r="AB351" s="1"/>
      <c r="AC351" s="1"/>
      <c r="AD351" s="1"/>
      <c r="AE351" s="1"/>
      <c r="AF351" s="1"/>
    </row>
    <row r="352">
      <c r="A352" s="1"/>
      <c r="B352" s="2"/>
      <c r="C352" s="8"/>
      <c r="D352" s="8"/>
      <c r="E352" s="8"/>
      <c r="F352" s="2"/>
      <c r="G352" s="2"/>
      <c r="H352" s="2"/>
      <c r="I352" s="8"/>
      <c r="J352" s="2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2"/>
      <c r="Z352" s="2"/>
      <c r="AA352" s="2"/>
      <c r="AB352" s="4"/>
      <c r="AC352" s="1"/>
      <c r="AD352" s="1"/>
      <c r="AE352" s="1"/>
      <c r="AF352" s="1"/>
    </row>
    <row r="353">
      <c r="A353" s="1"/>
      <c r="B353" s="2"/>
      <c r="C353" s="8"/>
      <c r="D353" s="8"/>
      <c r="E353" s="8"/>
      <c r="F353" s="2"/>
      <c r="G353" s="2"/>
      <c r="H353" s="2"/>
      <c r="I353" s="4"/>
      <c r="J353" s="1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2"/>
      <c r="Z353" s="2"/>
      <c r="AA353" s="2"/>
      <c r="AB353" s="4"/>
      <c r="AC353" s="1"/>
      <c r="AD353" s="1"/>
      <c r="AE353" s="1"/>
      <c r="AF353" s="1"/>
    </row>
    <row r="354">
      <c r="A354" s="1"/>
      <c r="B354" s="2"/>
      <c r="C354" s="8"/>
      <c r="D354" s="8"/>
      <c r="E354" s="8"/>
      <c r="F354" s="2"/>
      <c r="G354" s="2"/>
      <c r="H354" s="2"/>
      <c r="I354" s="4"/>
      <c r="J354" s="1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2"/>
      <c r="Z354" s="2"/>
      <c r="AA354" s="2"/>
      <c r="AB354" s="4"/>
      <c r="AC354" s="1"/>
      <c r="AD354" s="1"/>
      <c r="AE354" s="1"/>
      <c r="AF354" s="1"/>
    </row>
    <row r="35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2"/>
      <c r="Z355" s="2"/>
      <c r="AA355" s="2"/>
      <c r="AB355" s="1"/>
      <c r="AC355" s="1"/>
      <c r="AD355" s="1"/>
      <c r="AE355" s="1"/>
      <c r="AF355" s="1"/>
    </row>
    <row r="356">
      <c r="A356" s="1"/>
      <c r="B356" s="2"/>
      <c r="C356" s="8"/>
      <c r="D356" s="8"/>
      <c r="E356" s="8"/>
      <c r="F356" s="2"/>
      <c r="G356" s="2"/>
      <c r="H356" s="2"/>
      <c r="I356" s="2"/>
      <c r="J356" s="2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2"/>
      <c r="Z356" s="2"/>
      <c r="AA356" s="2"/>
      <c r="AB356" s="1"/>
      <c r="AC356" s="1"/>
      <c r="AD356" s="1"/>
      <c r="AE356" s="1"/>
      <c r="AF356" s="1"/>
    </row>
    <row r="357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2"/>
      <c r="Z357" s="2"/>
      <c r="AA357" s="2"/>
      <c r="AB357" s="1"/>
      <c r="AC357" s="1"/>
      <c r="AD357" s="1"/>
      <c r="AE357" s="1"/>
      <c r="AF357" s="1"/>
    </row>
    <row r="358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2"/>
      <c r="Z358" s="2"/>
      <c r="AA358" s="2"/>
      <c r="AB358" s="1"/>
      <c r="AC358" s="1"/>
      <c r="AD358" s="1"/>
      <c r="AE358" s="1"/>
      <c r="AF358" s="1"/>
    </row>
    <row r="359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2"/>
      <c r="Z359" s="2"/>
      <c r="AA359" s="2"/>
      <c r="AB359" s="1"/>
      <c r="AC359" s="1"/>
      <c r="AD359" s="1"/>
      <c r="AE359" s="1"/>
      <c r="AF359" s="1"/>
    </row>
    <row r="360">
      <c r="A360" s="1"/>
      <c r="B360" s="2"/>
      <c r="C360" s="2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2"/>
      <c r="Z360" s="2"/>
      <c r="AA360" s="2"/>
      <c r="AB360" s="1"/>
      <c r="AC360" s="1"/>
      <c r="AD360" s="1"/>
      <c r="AE360" s="1"/>
      <c r="AF360" s="1"/>
    </row>
    <row r="361">
      <c r="A361" s="1"/>
      <c r="B361" s="2"/>
      <c r="C361" s="2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2"/>
      <c r="Z361" s="2"/>
      <c r="AA361" s="2"/>
      <c r="AB361" s="1"/>
      <c r="AC361" s="1"/>
      <c r="AD361" s="1"/>
      <c r="AE361" s="1"/>
      <c r="AF361" s="1"/>
    </row>
    <row r="362">
      <c r="A362" s="1"/>
      <c r="B362" s="2"/>
      <c r="C362" s="2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2"/>
      <c r="Z362" s="2"/>
      <c r="AA362" s="2"/>
      <c r="AB362" s="1"/>
      <c r="AC362" s="1"/>
      <c r="AD362" s="1"/>
      <c r="AE362" s="1"/>
      <c r="AF362" s="1"/>
    </row>
    <row r="36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2"/>
      <c r="Z363" s="2"/>
      <c r="AA363" s="2"/>
      <c r="AB363" s="1"/>
      <c r="AC363" s="1"/>
      <c r="AD363" s="1"/>
      <c r="AE363" s="1"/>
      <c r="AF363" s="1"/>
    </row>
    <row r="364">
      <c r="A364" s="1"/>
      <c r="B364" s="2"/>
      <c r="C364" s="2"/>
      <c r="D364" s="2"/>
      <c r="E364" s="2"/>
      <c r="F364" s="1"/>
      <c r="G364" s="1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2"/>
      <c r="Z364" s="2"/>
      <c r="AA364" s="2"/>
      <c r="AB364" s="1"/>
      <c r="AC364" s="1"/>
      <c r="AD364" s="1"/>
      <c r="AE364" s="1"/>
      <c r="AF364" s="1"/>
    </row>
    <row r="365">
      <c r="A365" s="1"/>
      <c r="B365" s="2"/>
      <c r="C365" s="2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2"/>
      <c r="Z365" s="2"/>
      <c r="AA365" s="2"/>
      <c r="AB365" s="1"/>
      <c r="AC365" s="1"/>
      <c r="AD365" s="1"/>
      <c r="AE365" s="1"/>
      <c r="AF365" s="1"/>
    </row>
    <row r="366">
      <c r="A366" s="1"/>
      <c r="B366" s="2"/>
      <c r="C366" s="2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2"/>
      <c r="Z366" s="2"/>
      <c r="AA366" s="2"/>
      <c r="AB366" s="1"/>
      <c r="AC366" s="1"/>
      <c r="AD366" s="1"/>
      <c r="AE366" s="1"/>
      <c r="AF366" s="1"/>
    </row>
    <row r="367">
      <c r="A367" s="1"/>
      <c r="B367" s="2"/>
      <c r="C367" s="2"/>
      <c r="D367" s="2"/>
      <c r="E367" s="2"/>
      <c r="F367" s="1"/>
      <c r="G367" s="2"/>
      <c r="H367" s="2"/>
      <c r="I367" s="2"/>
      <c r="J367" s="2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2"/>
      <c r="Z367" s="2"/>
      <c r="AA367" s="2"/>
      <c r="AB367" s="1"/>
      <c r="AC367" s="1"/>
      <c r="AD367" s="1"/>
      <c r="AE367" s="1"/>
      <c r="AF367" s="1"/>
    </row>
    <row r="368">
      <c r="A368" s="1"/>
      <c r="B368" s="2"/>
      <c r="C368" s="2"/>
      <c r="D368" s="2"/>
      <c r="E368" s="2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2"/>
      <c r="Z368" s="2"/>
      <c r="AA368" s="2"/>
      <c r="AB368" s="1"/>
      <c r="AC368" s="1"/>
      <c r="AD368" s="1"/>
      <c r="AE368" s="1"/>
      <c r="AF368" s="1"/>
    </row>
    <row r="369">
      <c r="A369" s="1"/>
      <c r="B369" s="2"/>
      <c r="C369" s="2"/>
      <c r="D369" s="2"/>
      <c r="E369" s="2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2"/>
      <c r="Z369" s="2"/>
      <c r="AA369" s="2"/>
      <c r="AB369" s="1"/>
      <c r="AC369" s="1"/>
      <c r="AD369" s="1"/>
      <c r="AE369" s="1"/>
      <c r="AF369" s="1"/>
    </row>
    <row r="370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2"/>
      <c r="Z370" s="2"/>
      <c r="AA370" s="2"/>
      <c r="AB370" s="1"/>
      <c r="AC370" s="1"/>
      <c r="AD370" s="1"/>
      <c r="AE370" s="1"/>
      <c r="AF370" s="1"/>
    </row>
    <row r="37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2"/>
      <c r="Z371" s="2"/>
      <c r="AA371" s="2"/>
      <c r="AB371" s="1"/>
      <c r="AC371" s="1"/>
      <c r="AD371" s="1"/>
      <c r="AE371" s="1"/>
      <c r="AF371" s="1"/>
    </row>
    <row r="372">
      <c r="A372" s="1"/>
      <c r="B372" s="2"/>
      <c r="C372" s="2"/>
      <c r="D372" s="2"/>
      <c r="E372" s="2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2"/>
      <c r="Z372" s="2"/>
      <c r="AA372" s="2"/>
      <c r="AB372" s="1"/>
      <c r="AC372" s="1"/>
      <c r="AD372" s="1"/>
      <c r="AE372" s="1"/>
      <c r="AF372" s="1"/>
    </row>
    <row r="37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2"/>
      <c r="Z373" s="2"/>
      <c r="AA373" s="2"/>
      <c r="AB373" s="1"/>
      <c r="AC373" s="1"/>
      <c r="AD373" s="1"/>
      <c r="AE373" s="1"/>
      <c r="AF373" s="1"/>
    </row>
    <row r="374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2"/>
      <c r="Z374" s="2"/>
      <c r="AA374" s="2"/>
      <c r="AB374" s="1"/>
      <c r="AC374" s="1"/>
      <c r="AD374" s="1"/>
      <c r="AE374" s="1"/>
      <c r="AF374" s="1"/>
    </row>
    <row r="3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2"/>
      <c r="Z375" s="2"/>
      <c r="AA375" s="2"/>
      <c r="AB375" s="1"/>
      <c r="AC375" s="1"/>
      <c r="AD375" s="1"/>
      <c r="AE375" s="1"/>
      <c r="AF375" s="1"/>
    </row>
    <row r="37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2"/>
      <c r="Z376" s="2"/>
      <c r="AA376" s="2"/>
      <c r="AB376" s="1"/>
      <c r="AC376" s="1"/>
      <c r="AD376" s="1"/>
      <c r="AE376" s="1"/>
      <c r="AF376" s="1"/>
    </row>
    <row r="377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2"/>
      <c r="Z377" s="2"/>
      <c r="AA377" s="2"/>
      <c r="AB377" s="1"/>
      <c r="AC377" s="1"/>
      <c r="AD377" s="1"/>
      <c r="AE377" s="1"/>
      <c r="AF377" s="1"/>
    </row>
    <row r="378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2"/>
      <c r="Z378" s="2"/>
      <c r="AA378" s="2"/>
      <c r="AB378" s="1"/>
      <c r="AC378" s="1"/>
      <c r="AD378" s="1"/>
      <c r="AE378" s="1"/>
      <c r="AF378" s="1"/>
    </row>
    <row r="379">
      <c r="A379" s="1"/>
      <c r="B379" s="2"/>
      <c r="C379" s="2"/>
      <c r="D379" s="2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2"/>
      <c r="Z379" s="2"/>
      <c r="AA379" s="2"/>
      <c r="AB379" s="1"/>
      <c r="AC379" s="1"/>
      <c r="AD379" s="1"/>
      <c r="AE379" s="1"/>
      <c r="AF379" s="1"/>
    </row>
    <row r="380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2"/>
      <c r="Z380" s="2"/>
      <c r="AA380" s="2"/>
      <c r="AB380" s="1"/>
      <c r="AC380" s="1"/>
      <c r="AD380" s="1"/>
      <c r="AE380" s="1"/>
      <c r="AF380" s="1"/>
    </row>
    <row r="38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2"/>
      <c r="Z381" s="2"/>
      <c r="AA381" s="2"/>
      <c r="AB381" s="1"/>
      <c r="AC381" s="1"/>
      <c r="AD381" s="1"/>
      <c r="AE381" s="1"/>
      <c r="AF381" s="1"/>
    </row>
    <row r="38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2"/>
      <c r="Z382" s="2"/>
      <c r="AA382" s="2"/>
      <c r="AB382" s="1"/>
      <c r="AC382" s="1"/>
      <c r="AD382" s="1"/>
      <c r="AE382" s="1"/>
      <c r="AF382" s="1"/>
    </row>
    <row r="383">
      <c r="A383" s="1"/>
      <c r="B383" s="2"/>
      <c r="C383" s="2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2"/>
      <c r="Z383" s="2"/>
      <c r="AA383" s="2"/>
      <c r="AB383" s="1"/>
      <c r="AC383" s="1"/>
      <c r="AD383" s="1"/>
      <c r="AE383" s="1"/>
      <c r="AF383" s="1"/>
    </row>
    <row r="384">
      <c r="A384" s="1"/>
      <c r="B384" s="2"/>
      <c r="C384" s="2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2"/>
      <c r="Z384" s="2"/>
      <c r="AA384" s="2"/>
      <c r="AB384" s="1"/>
      <c r="AC384" s="1"/>
      <c r="AD384" s="1"/>
      <c r="AE384" s="1"/>
      <c r="AF384" s="1"/>
    </row>
    <row r="38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2"/>
      <c r="Z385" s="2"/>
      <c r="AA385" s="2"/>
      <c r="AB385" s="1"/>
      <c r="AC385" s="1"/>
      <c r="AD385" s="1"/>
      <c r="AE385" s="1"/>
      <c r="AF385" s="1"/>
    </row>
    <row r="386">
      <c r="A386" s="1"/>
      <c r="B386" s="2"/>
      <c r="C386" s="2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2"/>
      <c r="Z386" s="2"/>
      <c r="AA386" s="2"/>
      <c r="AB386" s="1"/>
      <c r="AC386" s="1"/>
      <c r="AD386" s="1"/>
      <c r="AE386" s="1"/>
      <c r="AF386" s="1"/>
    </row>
    <row r="387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2"/>
      <c r="Z387" s="2"/>
      <c r="AA387" s="2"/>
      <c r="AB387" s="1"/>
      <c r="AC387" s="1"/>
      <c r="AD387" s="1"/>
      <c r="AE387" s="1"/>
      <c r="AF387" s="1"/>
    </row>
    <row r="388">
      <c r="A388" s="1"/>
      <c r="B388" s="2"/>
      <c r="C388" s="2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2"/>
      <c r="Z388" s="2"/>
      <c r="AA388" s="2"/>
      <c r="AB388" s="1"/>
      <c r="AC388" s="1"/>
      <c r="AD388" s="1"/>
      <c r="AE388" s="1"/>
      <c r="AF388" s="1"/>
    </row>
    <row r="389">
      <c r="A389" s="1"/>
      <c r="B389" s="2"/>
      <c r="C389" s="2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2"/>
      <c r="Z389" s="2"/>
      <c r="AA389" s="2"/>
      <c r="AB389" s="1"/>
      <c r="AC389" s="1"/>
      <c r="AD389" s="1"/>
      <c r="AE389" s="1"/>
      <c r="AF389" s="1"/>
    </row>
    <row r="390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2"/>
      <c r="Z390" s="2"/>
      <c r="AA390" s="2"/>
      <c r="AB390" s="1"/>
      <c r="AC390" s="1"/>
      <c r="AD390" s="1"/>
      <c r="AE390" s="1"/>
      <c r="AF390" s="1"/>
    </row>
    <row r="391">
      <c r="A391" s="1"/>
      <c r="B391" s="2"/>
      <c r="C391" s="2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2"/>
      <c r="Z391" s="2"/>
      <c r="AA391" s="2"/>
      <c r="AB391" s="1"/>
      <c r="AC391" s="1"/>
      <c r="AD391" s="1"/>
      <c r="AE391" s="1"/>
      <c r="AF391" s="1"/>
    </row>
    <row r="39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2"/>
      <c r="Z392" s="2"/>
      <c r="AA392" s="2"/>
      <c r="AB392" s="1"/>
      <c r="AC392" s="1"/>
      <c r="AD392" s="1"/>
      <c r="AE392" s="1"/>
      <c r="AF392" s="1"/>
    </row>
    <row r="39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2"/>
      <c r="Z393" s="2"/>
      <c r="AA393" s="2"/>
      <c r="AB393" s="1"/>
      <c r="AC393" s="1"/>
      <c r="AD393" s="1"/>
      <c r="AE393" s="1"/>
      <c r="AF393" s="1"/>
    </row>
    <row r="394">
      <c r="A394" s="1"/>
      <c r="B394" s="2"/>
      <c r="C394" s="2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2"/>
      <c r="Z394" s="2"/>
      <c r="AA394" s="2"/>
      <c r="AB394" s="1"/>
      <c r="AC394" s="1"/>
      <c r="AD394" s="1"/>
      <c r="AE394" s="1"/>
      <c r="AF394" s="1"/>
    </row>
    <row r="39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2"/>
      <c r="Z395" s="2"/>
      <c r="AA395" s="2"/>
      <c r="AB395" s="1"/>
      <c r="AC395" s="1"/>
      <c r="AD395" s="1"/>
      <c r="AE395" s="1"/>
      <c r="AF395" s="1"/>
    </row>
    <row r="39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2"/>
      <c r="Z396" s="2"/>
      <c r="AA396" s="2"/>
      <c r="AB396" s="1"/>
      <c r="AC396" s="1"/>
      <c r="AD396" s="1"/>
      <c r="AE396" s="1"/>
      <c r="AF396" s="1"/>
    </row>
    <row r="397">
      <c r="A397" s="1"/>
      <c r="B397" s="2"/>
      <c r="C397" s="2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2"/>
      <c r="Z397" s="2"/>
      <c r="AA397" s="2"/>
      <c r="AB397" s="1"/>
      <c r="AC397" s="1"/>
      <c r="AD397" s="1"/>
      <c r="AE397" s="1"/>
      <c r="AF397" s="1"/>
    </row>
    <row r="398">
      <c r="A398" s="1"/>
      <c r="B398" s="2"/>
      <c r="C398" s="2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2"/>
      <c r="Z398" s="2"/>
      <c r="AA398" s="2"/>
      <c r="AB398" s="1"/>
      <c r="AC398" s="1"/>
      <c r="AD398" s="1"/>
      <c r="AE398" s="1"/>
      <c r="AF398" s="1"/>
    </row>
    <row r="399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2"/>
      <c r="Z399" s="2"/>
      <c r="AA399" s="2"/>
      <c r="AB399" s="1"/>
      <c r="AC399" s="1"/>
      <c r="AD399" s="1"/>
      <c r="AE399" s="1"/>
      <c r="AF399" s="1"/>
    </row>
    <row r="400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2"/>
      <c r="Z400" s="2"/>
      <c r="AA400" s="2"/>
      <c r="AB400" s="1"/>
      <c r="AC400" s="1"/>
      <c r="AD400" s="1"/>
      <c r="AE400" s="1"/>
      <c r="AF400" s="1"/>
    </row>
    <row r="40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2"/>
      <c r="Z401" s="2"/>
      <c r="AA401" s="2"/>
      <c r="AB401" s="1"/>
      <c r="AC401" s="1"/>
      <c r="AD401" s="1"/>
      <c r="AE401" s="1"/>
      <c r="AF401" s="1"/>
    </row>
    <row r="402">
      <c r="A402" s="1"/>
      <c r="B402" s="2"/>
      <c r="C402" s="2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2"/>
      <c r="Z402" s="2"/>
      <c r="AA402" s="2"/>
      <c r="AB402" s="1"/>
      <c r="AC402" s="1"/>
      <c r="AD402" s="1"/>
      <c r="AE402" s="1"/>
      <c r="AF402" s="1"/>
    </row>
    <row r="403">
      <c r="A403" s="1"/>
      <c r="B403" s="2"/>
      <c r="C403" s="2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2"/>
      <c r="Z403" s="2"/>
      <c r="AA403" s="2"/>
      <c r="AB403" s="1"/>
      <c r="AC403" s="1"/>
      <c r="AD403" s="1"/>
      <c r="AE403" s="1"/>
      <c r="AF403" s="1"/>
    </row>
    <row r="404">
      <c r="A404" s="1"/>
      <c r="B404" s="2"/>
      <c r="C404" s="2"/>
      <c r="D404" s="2"/>
      <c r="E404" s="20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2"/>
      <c r="Z404" s="2"/>
      <c r="AA404" s="2"/>
      <c r="AB404" s="1"/>
      <c r="AC404" s="1"/>
      <c r="AD404" s="1"/>
      <c r="AE404" s="1"/>
      <c r="AF404" s="1"/>
    </row>
    <row r="405">
      <c r="A405" s="1"/>
      <c r="B405" s="2"/>
      <c r="C405" s="2"/>
      <c r="D405" s="2"/>
      <c r="E405" s="50"/>
      <c r="F405" s="2"/>
      <c r="G405" s="2"/>
      <c r="H405" s="2"/>
      <c r="I405" s="52"/>
      <c r="J405" s="2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2"/>
      <c r="Z405" s="2"/>
      <c r="AA405" s="2"/>
      <c r="AB405" s="1"/>
      <c r="AC405" s="1"/>
      <c r="AD405" s="1"/>
      <c r="AE405" s="1"/>
      <c r="AF405" s="1"/>
    </row>
    <row r="406">
      <c r="A406" s="1"/>
      <c r="B406" s="2"/>
      <c r="C406" s="2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2"/>
      <c r="Z406" s="2"/>
      <c r="AA406" s="2"/>
      <c r="AB406" s="1"/>
      <c r="AC406" s="1"/>
      <c r="AD406" s="1"/>
      <c r="AE406" s="1"/>
      <c r="AF406" s="1"/>
    </row>
    <row r="407">
      <c r="A407" s="1"/>
      <c r="B407" s="2"/>
      <c r="C407" s="2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2"/>
      <c r="Z407" s="2"/>
      <c r="AA407" s="2"/>
      <c r="AB407" s="1"/>
      <c r="AC407" s="1"/>
      <c r="AD407" s="1"/>
      <c r="AE407" s="1"/>
      <c r="AF407" s="1"/>
    </row>
    <row r="408">
      <c r="A408" s="1"/>
      <c r="B408" s="2"/>
      <c r="C408" s="2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2"/>
      <c r="C409" s="2"/>
      <c r="D409" s="2"/>
      <c r="E409" s="2"/>
      <c r="F409" s="1"/>
      <c r="G409" s="1"/>
      <c r="H409" s="1"/>
      <c r="I409" s="1"/>
      <c r="J409" s="1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2"/>
      <c r="Z409" s="2"/>
      <c r="AA409" s="2"/>
      <c r="AB409" s="1"/>
      <c r="AC409" s="1"/>
      <c r="AD409" s="1"/>
      <c r="AE409" s="1"/>
      <c r="AF409" s="1"/>
    </row>
    <row r="410">
      <c r="A410" s="1"/>
      <c r="B410" s="2"/>
      <c r="C410" s="2"/>
      <c r="D410" s="2"/>
      <c r="E410" s="2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2"/>
      <c r="Z410" s="2"/>
      <c r="AA410" s="2"/>
      <c r="AB410" s="1"/>
      <c r="AC410" s="1"/>
      <c r="AD410" s="1"/>
      <c r="AE410" s="1"/>
      <c r="AF410" s="1"/>
    </row>
    <row r="411">
      <c r="A411" s="1"/>
      <c r="B411" s="2"/>
      <c r="C411" s="2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2"/>
      <c r="C412" s="2"/>
      <c r="D412" s="2"/>
      <c r="E412" s="2"/>
      <c r="F412" s="1"/>
      <c r="G412" s="2"/>
      <c r="H412" s="2"/>
      <c r="I412" s="2"/>
      <c r="J412" s="2"/>
      <c r="K412" s="2"/>
      <c r="L412" s="1"/>
      <c r="M412" s="2"/>
      <c r="N412" s="2"/>
      <c r="O412" s="2"/>
      <c r="P412" s="2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2"/>
      <c r="C413" s="2"/>
      <c r="D413" s="2"/>
      <c r="E413" s="2"/>
      <c r="F413" s="1"/>
      <c r="G413" s="2"/>
      <c r="H413" s="2"/>
      <c r="I413" s="2"/>
      <c r="J413" s="2"/>
      <c r="K413" s="2"/>
      <c r="L413" s="1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2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2"/>
      <c r="C445" s="2"/>
      <c r="D445" s="2"/>
      <c r="E445" s="2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2"/>
      <c r="Z445" s="2"/>
      <c r="AA445" s="2"/>
      <c r="AB445" s="1"/>
      <c r="AC445" s="1"/>
      <c r="AD445" s="1"/>
      <c r="AE445" s="1"/>
      <c r="AF445" s="1"/>
    </row>
    <row r="446">
      <c r="A446" s="1"/>
      <c r="B446" s="2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2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2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2"/>
      <c r="C449" s="2"/>
      <c r="D449" s="2"/>
      <c r="E449" s="20"/>
      <c r="F449" s="2"/>
      <c r="G449" s="2"/>
      <c r="H449" s="2"/>
      <c r="I449" s="2"/>
      <c r="J449" s="1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2"/>
      <c r="Z449" s="2"/>
      <c r="AA449" s="2"/>
      <c r="AB449" s="1"/>
      <c r="AC449" s="1"/>
      <c r="AD449" s="1"/>
      <c r="AE449" s="1"/>
      <c r="AF449" s="1"/>
    </row>
    <row r="450">
      <c r="A450" s="1"/>
      <c r="B450" s="2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2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53" t="s">
        <v>0</v>
      </c>
      <c r="B499" s="53"/>
      <c r="C499" s="54"/>
      <c r="D499" s="53"/>
      <c r="E499" s="55"/>
      <c r="F499" s="53" t="s">
        <v>1</v>
      </c>
      <c r="G499" s="53"/>
      <c r="H499" s="56" t="s">
        <v>2</v>
      </c>
      <c r="I499" s="53" t="s">
        <v>3</v>
      </c>
      <c r="J499" s="53" t="s">
        <v>4</v>
      </c>
      <c r="K499" s="53" t="s">
        <v>5</v>
      </c>
      <c r="L499" s="53" t="s">
        <v>6</v>
      </c>
      <c r="M499" s="53" t="s">
        <v>7</v>
      </c>
      <c r="N499" s="57" t="s">
        <v>8</v>
      </c>
      <c r="O499" s="58" t="s">
        <v>9</v>
      </c>
      <c r="P499" s="53"/>
      <c r="Q499" s="57" t="s">
        <v>10</v>
      </c>
      <c r="R499" s="53" t="s">
        <v>11</v>
      </c>
      <c r="S499" s="53" t="s">
        <v>11</v>
      </c>
      <c r="T499" s="53" t="s">
        <v>12</v>
      </c>
      <c r="U499" s="53" t="s">
        <v>12</v>
      </c>
      <c r="V499" s="53" t="s">
        <v>13</v>
      </c>
      <c r="W499" s="53" t="s">
        <v>14</v>
      </c>
      <c r="X499" s="53" t="s">
        <v>15</v>
      </c>
      <c r="Y499" s="59" t="s">
        <v>16</v>
      </c>
      <c r="Z499" s="59" t="s">
        <v>16</v>
      </c>
      <c r="AA499" s="59" t="s">
        <v>16</v>
      </c>
      <c r="AB499" s="60"/>
      <c r="AC499" s="60"/>
      <c r="AD499" s="60"/>
      <c r="AE499" s="61"/>
      <c r="AF499" s="61"/>
    </row>
    <row r="500">
      <c r="A500" s="62" t="s">
        <v>17</v>
      </c>
      <c r="B500" s="63" t="s">
        <v>18</v>
      </c>
      <c r="C500" s="62" t="s">
        <v>19</v>
      </c>
      <c r="D500" s="62" t="s">
        <v>20</v>
      </c>
      <c r="E500" s="62" t="s">
        <v>21</v>
      </c>
      <c r="F500" s="62" t="s">
        <v>22</v>
      </c>
      <c r="G500" s="62" t="s">
        <v>23</v>
      </c>
      <c r="H500" s="62" t="s">
        <v>24</v>
      </c>
      <c r="I500" s="62" t="s">
        <v>25</v>
      </c>
      <c r="J500" s="62" t="s">
        <v>26</v>
      </c>
      <c r="K500" s="62" t="s">
        <v>27</v>
      </c>
      <c r="L500" s="62" t="s">
        <v>28</v>
      </c>
      <c r="M500" s="62" t="s">
        <v>29</v>
      </c>
      <c r="N500" s="64" t="s">
        <v>30</v>
      </c>
      <c r="O500" s="62" t="s">
        <v>31</v>
      </c>
      <c r="P500" s="62" t="s">
        <v>32</v>
      </c>
      <c r="Q500" s="62" t="s">
        <v>33</v>
      </c>
      <c r="R500" s="62" t="s">
        <v>34</v>
      </c>
      <c r="S500" s="62" t="s">
        <v>35</v>
      </c>
      <c r="T500" s="63" t="s">
        <v>36</v>
      </c>
      <c r="U500" s="63" t="s">
        <v>37</v>
      </c>
      <c r="V500" s="63" t="s">
        <v>38</v>
      </c>
      <c r="W500" s="63" t="s">
        <v>39</v>
      </c>
      <c r="X500" s="63" t="s">
        <v>40</v>
      </c>
      <c r="Y500" s="65" t="s">
        <v>41</v>
      </c>
      <c r="Z500" s="65" t="s">
        <v>42</v>
      </c>
      <c r="AA500" s="64" t="s">
        <v>43</v>
      </c>
      <c r="AB500" s="63" t="s">
        <v>44</v>
      </c>
      <c r="AC500" s="61"/>
      <c r="AD500" s="61"/>
      <c r="AE500" s="61"/>
      <c r="AF500" s="61"/>
    </row>
  </sheetData>
  <autoFilter ref="$B$499:$AB$500"/>
  <customSheetViews>
    <customSheetView guid="{48A5A79D-82BC-4A9B-8F20-07831542ACC3}" filter="1" showAutoFilter="1">
      <autoFilter ref="$C$500:$AB$500">
        <sortState ref="C500:AB500">
          <sortCondition ref="H500"/>
        </sortState>
      </autoFilter>
    </customSheetView>
  </customSheetViews>
  <conditionalFormatting sqref="C1:C4 C6:C64 C66:C264 D228">
    <cfRule type="expression" dxfId="0" priority="1">
      <formula>Y1="yes"</formula>
    </cfRule>
  </conditionalFormatting>
  <dataValidations>
    <dataValidation type="list" allowBlank="1" showErrorMessage="1" sqref="A1:A10 A12:A15 A17:A163 A165:A251 A253:A448 A450:A498">
      <formula1>"Mr.,Mrs.,Prof.,Dr."</formula1>
    </dataValidation>
    <dataValidation type="list" allowBlank="1" showErrorMessage="1" sqref="J411 F411:F412">
      <formula1>"No,Yes"</formula1>
    </dataValidation>
    <dataValidation type="list" allowBlank="1" showErrorMessage="1" sqref="M1:M2 M10 M12:M19 M21 M28 M37:M38 M64:M66 M97 M102 M108 M119 M146 M148 M153:M157 M209 M224:M225 M244:M246 M248:M250 M259 M278:M284 M289 M310:M410 M412:M498">
      <formula1>"Mathematics,Computer and Information Science,Economics and Business,Law,Political Science,Electrical engineering, electronic engineering, information engineering,Psychology,Sociology,Media and Communications,Languages and Literature,Other"</formula1>
    </dataValidation>
    <dataValidation type="list" allowBlank="1" showErrorMessage="1" sqref="K411">
      <formula1>"No,Yes"</formula1>
    </dataValidation>
    <dataValidation type="list" allowBlank="1" showErrorMessage="1" sqref="F1:F410 J1:J410 F413:F498 J412:J498">
      <formula1>"No,Yes"</formula1>
    </dataValidation>
    <dataValidation type="list" allowBlank="1" showErrorMessage="1" sqref="Y411:AA412">
      <formula1>"Yes,No"</formula1>
    </dataValidation>
    <dataValidation type="list" allowBlank="1" showErrorMessage="1" sqref="X1:X9 X11 X20 X22:X27 X29:X36 X39:X63 X65 X67:X96 X98:X101 X103:X118 X120:X145 X147 X149:X152 X156 X159:X208 X210:X223 X226:X243 X247 X251:X277 X285:X288 X290:X309">
      <formula1>"yes,Yes"</formula1>
    </dataValidation>
    <dataValidation type="list" allowBlank="1" showErrorMessage="1" sqref="Y10:AA10 Y12:AA19 AA20 Y21 Y28:AA28 Y38:AA38 AA56:AA57 AA61 Y64:AA65 Y66 AA66 Y97:AA97 Y98:Y100 Y102:AA102 Y119 Y141:Y142 Y148:AA148 Y153:AA157 Y158 AA207:AA208 Y209:Z209 Y224:AA225 AA239:AA243 Y244:AA246 Y248:AA250 Y259:AA259 AA277 Y278 Y279:AA279 AA282:AA283 Y280:Y284 Y289:AA289 Y305:AA305 Y310:AA354 Y360:AA369 Y372:AA372 Y379:AA379 Y383:AA384 Y386:AA386 Y388:AA389 Y391:AA391 Y394:AA394 Y397:AA398 Y402:AA410 Y413:AA498">
      <formula1>"Yes,No"</formula1>
    </dataValidation>
    <dataValidation type="list" allowBlank="1" sqref="H411:H412">
      <formula1>DataBase!$A$2:$A$42</formula1>
    </dataValidation>
    <dataValidation type="list" allowBlank="1" sqref="H1:H410 H413:H498">
      <formula1>DataBase!$A$2:$A$42</formula1>
    </dataValidation>
    <dataValidation type="list" allowBlank="1" showErrorMessage="1" sqref="Y1:AA9 Y11:AA11 Y20:Z20 Z21:AA21 Y22:AA27 Y29:AA37 Y39:AA55 Y56:Z57 Y58:AA60 Y61:Z61 Y62:AA63 Z66 Y67:AA96 Z98:AA100 Y101:AA101 Y103:AA118 Z119:AA119 Y120:AA140 Z141:AA142 Y143:AA147 Y149:AA152 Z158:AA158 Y159:AA206 Y207:Z208 AA209 Y210:AA223 Y226:AA238 Y239:Z243 Y247:AA247 Y251:AA258 Y260:AA276 Y277:Z277 Z278:AA278 Z280:AA281 Z282:Z283 Z284:AA284 Y285:AA288 Y290:AA304 Y306:AA309 Y355:AA359 Y370:AA371 Y373:AA378 Y380:AA382 Y385:AA385 Y387:AA387 Y390:AA390 Y392:AA393 Y395:AA396 Y399:AA401">
      <formula1>"Yes,No"</formula1>
    </dataValidation>
    <dataValidation type="list" allowBlank="1" showErrorMessage="1" sqref="M3:M9 M11 M20 M22:M27 M29:M36 M39:M63 M67:M96 M98:M101 M103:M107 M109:M118 M120:M145 M147 M149:M152 M158:M208 M210:M223 M226:M243 M247 M251:M258 M260:M277 M285:M288 M290:M309">
      <formula1>"Mathematics,Computer and Information Science,Economics and Business,Law,Political Science,Electrical engineering, electronic engineering, information engineering,Psychology,Sociology,Media and Communications,Languages and Literature,Other"</formula1>
    </dataValidation>
    <dataValidation type="list" allowBlank="1" showErrorMessage="1" sqref="O1:S410 O412:P412 O413:S498">
      <formula1>"No,Not Sure,Yes"</formula1>
    </dataValidation>
    <dataValidation type="list" allowBlank="1" showErrorMessage="1" sqref="M411">
      <formula1>"Mathematics,Computer and Information Science,Economics and Business,Law,Political Science,Electrical engineering, electronic engineering, information engineering,Psychology,Sociology,Media and Communications,Languages and Literature,Other"</formula1>
    </dataValidation>
    <dataValidation type="list" allowBlank="1" showErrorMessage="1" sqref="G411">
      <formula1>"M,F,m,f"</formula1>
    </dataValidation>
    <dataValidation type="list" allowBlank="1" showErrorMessage="1" sqref="G1:G9 G11 G20 G22:G27 G29:G36 G39:G63 G67:G96 G98:G101 G103:G118 G120:G145 G147 G149:G152 G159:G208 G210:G223 G226:G243 G247 G251:G258 G260:G277 G285:G288 G290 G292:G309">
      <formula1>"M,F,m,f"</formula1>
    </dataValidation>
    <dataValidation type="list" allowBlank="1" showErrorMessage="1" sqref="G10 G12:G19 G21 G28 G37:G38 G64:G66 G97 G102 G119 G146 G148 G153:G158 G209 G224:G225 G244:G246 G248:G250 G259 G278:G284 G289 G291 G310:G410 G412:G498">
      <formula1>"M,F,m,f"</formula1>
    </dataValidation>
    <dataValidation type="list" allowBlank="1" showErrorMessage="1" sqref="O411:S411 Q412:S412">
      <formula1>"No,Not Sure,Yes"</formula1>
    </dataValidation>
    <dataValidation type="list" allowBlank="1" showErrorMessage="1" sqref="K1:K410 K412:K498">
      <formula1>"No,Yes"</formula1>
    </dataValidation>
  </dataValidations>
  <hyperlinks>
    <hyperlink r:id="rId1" location=":~:text=These%20countries%20are%20known%20as,green%20on%20the%20map%20above)." ref="N499"/>
    <hyperlink r:id="rId2" location=":~:text=These%20countries%20are%20known%20as,green%20on%20the%20map%20above)." ref="O499"/>
    <hyperlink r:id="rId3" ref="Q499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25.88"/>
  </cols>
  <sheetData>
    <row r="1">
      <c r="A1" s="66" t="s">
        <v>45</v>
      </c>
      <c r="B1" s="66" t="s">
        <v>46</v>
      </c>
    </row>
    <row r="2">
      <c r="A2" s="67" t="s">
        <v>47</v>
      </c>
      <c r="B2" s="67" t="s">
        <v>47</v>
      </c>
    </row>
    <row r="3">
      <c r="A3" s="67" t="s">
        <v>48</v>
      </c>
      <c r="B3" s="67" t="s">
        <v>48</v>
      </c>
    </row>
    <row r="4">
      <c r="A4" s="67" t="s">
        <v>49</v>
      </c>
      <c r="B4" s="67" t="s">
        <v>50</v>
      </c>
    </row>
    <row r="5">
      <c r="A5" s="67" t="s">
        <v>51</v>
      </c>
      <c r="B5" s="67" t="s">
        <v>52</v>
      </c>
    </row>
    <row r="6">
      <c r="A6" s="67" t="s">
        <v>50</v>
      </c>
      <c r="B6" s="67" t="s">
        <v>53</v>
      </c>
    </row>
    <row r="7">
      <c r="A7" s="67" t="s">
        <v>52</v>
      </c>
      <c r="B7" s="67" t="s">
        <v>54</v>
      </c>
    </row>
    <row r="8">
      <c r="A8" s="67" t="s">
        <v>53</v>
      </c>
      <c r="B8" s="67" t="s">
        <v>55</v>
      </c>
    </row>
    <row r="9">
      <c r="A9" s="67" t="s">
        <v>54</v>
      </c>
      <c r="B9" s="67" t="s">
        <v>56</v>
      </c>
    </row>
    <row r="10">
      <c r="A10" s="67" t="s">
        <v>57</v>
      </c>
      <c r="B10" s="67" t="s">
        <v>58</v>
      </c>
    </row>
    <row r="11">
      <c r="A11" s="67" t="s">
        <v>59</v>
      </c>
      <c r="B11" s="67" t="s">
        <v>60</v>
      </c>
    </row>
    <row r="12">
      <c r="A12" s="67" t="s">
        <v>56</v>
      </c>
      <c r="B12" s="67" t="s">
        <v>61</v>
      </c>
    </row>
    <row r="13">
      <c r="A13" s="67" t="s">
        <v>62</v>
      </c>
      <c r="B13" s="67" t="s">
        <v>63</v>
      </c>
    </row>
    <row r="14">
      <c r="A14" s="67" t="s">
        <v>64</v>
      </c>
      <c r="B14" s="67" t="s">
        <v>65</v>
      </c>
    </row>
    <row r="15">
      <c r="A15" s="67" t="s">
        <v>58</v>
      </c>
      <c r="B15" s="67" t="s">
        <v>66</v>
      </c>
    </row>
    <row r="16">
      <c r="A16" s="67" t="s">
        <v>67</v>
      </c>
      <c r="B16" s="67" t="s">
        <v>68</v>
      </c>
    </row>
    <row r="17">
      <c r="A17" s="67" t="s">
        <v>60</v>
      </c>
      <c r="B17" s="67" t="s">
        <v>69</v>
      </c>
    </row>
    <row r="18">
      <c r="A18" s="67" t="s">
        <v>61</v>
      </c>
      <c r="B18" s="67" t="s">
        <v>70</v>
      </c>
    </row>
    <row r="19">
      <c r="A19" s="67" t="s">
        <v>71</v>
      </c>
      <c r="B19" s="67" t="s">
        <v>72</v>
      </c>
    </row>
    <row r="20">
      <c r="A20" s="67" t="s">
        <v>73</v>
      </c>
      <c r="B20" s="67" t="s">
        <v>74</v>
      </c>
    </row>
    <row r="21">
      <c r="A21" s="67" t="s">
        <v>75</v>
      </c>
      <c r="B21" s="67" t="s">
        <v>76</v>
      </c>
    </row>
    <row r="22">
      <c r="A22" s="67" t="s">
        <v>65</v>
      </c>
      <c r="B22" s="67" t="s">
        <v>77</v>
      </c>
    </row>
    <row r="23">
      <c r="A23" s="67" t="s">
        <v>63</v>
      </c>
      <c r="B23" s="67" t="s">
        <v>78</v>
      </c>
    </row>
    <row r="24">
      <c r="A24" s="67" t="s">
        <v>79</v>
      </c>
      <c r="B24" s="67" t="s">
        <v>80</v>
      </c>
    </row>
    <row r="25">
      <c r="A25" s="67" t="s">
        <v>66</v>
      </c>
      <c r="B25" s="67" t="s">
        <v>81</v>
      </c>
    </row>
    <row r="26">
      <c r="A26" s="67" t="s">
        <v>68</v>
      </c>
      <c r="B26" s="67" t="s">
        <v>82</v>
      </c>
    </row>
    <row r="27">
      <c r="A27" s="67" t="s">
        <v>69</v>
      </c>
    </row>
    <row r="28">
      <c r="A28" s="67" t="s">
        <v>83</v>
      </c>
    </row>
    <row r="29">
      <c r="A29" s="67" t="s">
        <v>78</v>
      </c>
    </row>
    <row r="30">
      <c r="A30" s="67" t="s">
        <v>84</v>
      </c>
    </row>
    <row r="31">
      <c r="A31" s="67" t="s">
        <v>70</v>
      </c>
    </row>
    <row r="32">
      <c r="A32" s="67" t="s">
        <v>72</v>
      </c>
    </row>
    <row r="33">
      <c r="A33" s="67" t="s">
        <v>74</v>
      </c>
    </row>
    <row r="34">
      <c r="A34" s="67" t="s">
        <v>80</v>
      </c>
    </row>
    <row r="35">
      <c r="A35" s="67" t="s">
        <v>76</v>
      </c>
    </row>
    <row r="36">
      <c r="A36" s="67" t="s">
        <v>77</v>
      </c>
    </row>
    <row r="37">
      <c r="A37" s="67" t="s">
        <v>85</v>
      </c>
    </row>
    <row r="38">
      <c r="A38" s="67" t="s">
        <v>86</v>
      </c>
    </row>
    <row r="39">
      <c r="A39" s="67" t="s">
        <v>87</v>
      </c>
    </row>
    <row r="40">
      <c r="A40" s="67" t="s">
        <v>81</v>
      </c>
    </row>
    <row r="41">
      <c r="A41" s="67" t="s">
        <v>82</v>
      </c>
    </row>
    <row r="42">
      <c r="A42" s="67" t="s">
        <v>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5"/>
    <col customWidth="1" min="2" max="3" width="22.13"/>
    <col customWidth="1" min="4" max="4" width="17.0"/>
    <col customWidth="1" min="5" max="5" width="16.0"/>
    <col customWidth="1" min="6" max="6" width="14.38"/>
    <col customWidth="1" min="8" max="8" width="27.88"/>
    <col customWidth="1" min="10" max="11" width="52.5"/>
  </cols>
  <sheetData>
    <row r="1">
      <c r="B1" s="66" t="s">
        <v>89</v>
      </c>
      <c r="C1" s="67">
        <v>6.0</v>
      </c>
      <c r="D1" s="67">
        <v>3.0</v>
      </c>
      <c r="E1" s="67">
        <v>3.0</v>
      </c>
      <c r="F1" s="67">
        <v>2.0</v>
      </c>
      <c r="G1" s="67">
        <v>3.0</v>
      </c>
      <c r="H1" s="66"/>
      <c r="J1" s="66"/>
      <c r="K1" s="66"/>
      <c r="L1" s="66"/>
      <c r="M1" s="66"/>
    </row>
    <row r="2">
      <c r="A2" s="68" t="s">
        <v>2</v>
      </c>
      <c r="B2" s="68" t="s">
        <v>90</v>
      </c>
      <c r="C2" s="68" t="s">
        <v>91</v>
      </c>
      <c r="D2" s="68" t="s">
        <v>92</v>
      </c>
      <c r="E2" s="68" t="s">
        <v>93</v>
      </c>
      <c r="F2" s="68" t="s">
        <v>94</v>
      </c>
      <c r="G2" s="68" t="s">
        <v>95</v>
      </c>
      <c r="H2" s="68" t="s">
        <v>96</v>
      </c>
      <c r="I2" s="67" t="s">
        <v>97</v>
      </c>
      <c r="J2" s="66"/>
      <c r="K2" s="66" t="s">
        <v>98</v>
      </c>
      <c r="L2" s="66" t="s">
        <v>99</v>
      </c>
      <c r="M2" s="66" t="s">
        <v>100</v>
      </c>
    </row>
    <row r="3">
      <c r="A3" s="69" t="str">
        <f>IFERROR(__xludf.DUMMYFUNCTION("UNIQUE(FILTER('Expression of Interest'!H3:H498, 'Expression of Interest'!H3:H498&lt;&gt;""""))"),"#N/A")</f>
        <v>#N/A</v>
      </c>
      <c r="B3" s="69" t="b">
        <f>COUNTIF(DataBase!$B$2:$B$26,A3) &gt; 0</f>
        <v>0</v>
      </c>
      <c r="C3" s="69">
        <f>COUNTIF('Expression of Interest'!$H$2:$H$498, A3)</f>
        <v>0</v>
      </c>
      <c r="D3" s="70">
        <f>COUNTIFS('Expression of Interest'!H:H, $A3, 'Expression of Interest'!G:G, "F")</f>
        <v>0</v>
      </c>
      <c r="E3" s="70">
        <f>COUNTIFS('Expression of Interest'!H:H, $A3, 'Expression of Interest'!J:J, "Yes")</f>
        <v>0</v>
      </c>
      <c r="F3" s="70">
        <f>COUNTIFS('Expression of Interest'!H:H, $A3, 'Expression of Interest'!K:K, "Yes")</f>
        <v>0</v>
      </c>
      <c r="G3" s="70">
        <f>IFERROR(__xludf.DUMMYFUNCTION("COUNTA(UNIQUE(FILTER('Expression of Interest'!$M$2:$M$498, 'Expression of Interest'!$H$2:$H$498=$A3)))"),1.0)</f>
        <v>1</v>
      </c>
      <c r="H3" s="70">
        <f>COUNTIFS('Expression of Interest'!H:H, $A3, 'Expression of Interest'!F:F, "Yes")</f>
        <v>0</v>
      </c>
      <c r="K3" s="69" t="str">
        <f>IFERROR(__xludf.DUMMYFUNCTION("UNIQUE(FILTER('Expression of Interest'!M3:M498, 'Expression of Interest'!M3:M498&lt;&gt;""""))"),"#N/A")</f>
        <v>#N/A</v>
      </c>
      <c r="L3" s="69">
        <f>COUNTIFS('Expression of Interest'!M:M, $K3)</f>
        <v>0</v>
      </c>
      <c r="M3" s="71" t="str">
        <f t="shared" ref="M3:M13" si="1">L3/$L$14</f>
        <v>#DIV/0!</v>
      </c>
    </row>
    <row r="4">
      <c r="B4" s="69" t="b">
        <f>COUNTIF(DataBase!$B$2:$B$26,A4) &gt; 0</f>
        <v>0</v>
      </c>
      <c r="C4" s="69">
        <f>COUNTIF('Expression of Interest'!$H$2:$H$498, A4)</f>
        <v>0</v>
      </c>
      <c r="D4" s="70">
        <f>COUNTIFS('Expression of Interest'!H:H, $A4, 'Expression of Interest'!G:G, "F")</f>
        <v>0</v>
      </c>
      <c r="E4" s="70">
        <f>COUNTIFS('Expression of Interest'!H:H, $A4, 'Expression of Interest'!J:J, "Yes")</f>
        <v>0</v>
      </c>
      <c r="F4" s="70">
        <f>COUNTIFS('Expression of Interest'!H:H, $A4, 'Expression of Interest'!K:K, "Yes")</f>
        <v>0</v>
      </c>
      <c r="G4" s="70">
        <f>IFERROR(__xludf.DUMMYFUNCTION("COUNTA(UNIQUE(FILTER('Expression of Interest'!$M$2:$M$498, 'Expression of Interest'!$H$2:$H$498=$A4)))"),0.0)</f>
        <v>0</v>
      </c>
      <c r="H4" s="70">
        <f>COUNTIFS('Expression of Interest'!H:H, $A4, 'Expression of Interest'!F:F, "Yes")</f>
        <v>0</v>
      </c>
      <c r="L4" s="69">
        <f>COUNTIFS('Expression of Interest'!M:M, $K4)</f>
        <v>0</v>
      </c>
      <c r="M4" s="71" t="str">
        <f t="shared" si="1"/>
        <v>#DIV/0!</v>
      </c>
    </row>
    <row r="5">
      <c r="A5" s="72"/>
      <c r="B5" s="69" t="b">
        <f>COUNTIF(DataBase!$B$2:$B$26,A5) &gt; 0</f>
        <v>0</v>
      </c>
      <c r="C5" s="69">
        <f>COUNTIF('Expression of Interest'!$H$2:$H$498, A5)</f>
        <v>0</v>
      </c>
      <c r="D5" s="70">
        <f>COUNTIFS('Expression of Interest'!H:H, $A5, 'Expression of Interest'!G:G, "F")</f>
        <v>0</v>
      </c>
      <c r="E5" s="70">
        <f>COUNTIFS('Expression of Interest'!H:H, $A5, 'Expression of Interest'!J:J, "Yes")</f>
        <v>0</v>
      </c>
      <c r="F5" s="70">
        <f>COUNTIFS('Expression of Interest'!H:H, $A5, 'Expression of Interest'!K:K, "Yes")</f>
        <v>0</v>
      </c>
      <c r="G5" s="70">
        <f>IFERROR(__xludf.DUMMYFUNCTION("COUNTA(UNIQUE(FILTER('Expression of Interest'!$M$2:$M$498, 'Expression of Interest'!$H$2:$H$498=$A5)))"),0.0)</f>
        <v>0</v>
      </c>
      <c r="H5" s="70">
        <f>COUNTIFS('Expression of Interest'!H:H, $A5, 'Expression of Interest'!F:F, "Yes")</f>
        <v>0</v>
      </c>
      <c r="L5" s="69">
        <f>COUNTIFS('Expression of Interest'!M:M, $K5)</f>
        <v>0</v>
      </c>
      <c r="M5" s="71" t="str">
        <f t="shared" si="1"/>
        <v>#DIV/0!</v>
      </c>
    </row>
    <row r="6">
      <c r="B6" s="69" t="b">
        <f>COUNTIF(DataBase!$B$2:$B$26,A6) &gt; 0</f>
        <v>0</v>
      </c>
      <c r="C6" s="69">
        <f>COUNTIF('Expression of Interest'!$H$2:$H$498, A6)</f>
        <v>0</v>
      </c>
      <c r="D6" s="70">
        <f>COUNTIFS('Expression of Interest'!H:H, $A6, 'Expression of Interest'!G:G, "F")</f>
        <v>0</v>
      </c>
      <c r="E6" s="70">
        <f>COUNTIFS('Expression of Interest'!H:H, $A6, 'Expression of Interest'!J:J, "Yes")</f>
        <v>0</v>
      </c>
      <c r="F6" s="70">
        <f>COUNTIFS('Expression of Interest'!H:H, $A6, 'Expression of Interest'!K:K, "Yes")</f>
        <v>0</v>
      </c>
      <c r="G6" s="70">
        <f>IFERROR(__xludf.DUMMYFUNCTION("COUNTA(UNIQUE(FILTER('Expression of Interest'!$M$2:$M$498, 'Expression of Interest'!$H$2:$H$498=$A6)))"),0.0)</f>
        <v>0</v>
      </c>
      <c r="H6" s="70">
        <f>COUNTIFS('Expression of Interest'!H:H, $A6, 'Expression of Interest'!F:F, "Yes")</f>
        <v>0</v>
      </c>
      <c r="L6" s="69">
        <f>COUNTIFS('Expression of Interest'!M:M, $K6)</f>
        <v>0</v>
      </c>
      <c r="M6" s="71" t="str">
        <f t="shared" si="1"/>
        <v>#DIV/0!</v>
      </c>
    </row>
    <row r="7">
      <c r="B7" s="69" t="b">
        <f>COUNTIF(DataBase!$B$2:$B$26,A7) &gt; 0</f>
        <v>0</v>
      </c>
      <c r="C7" s="69">
        <f>COUNTIF('Expression of Interest'!$H$2:$H$498, A7)</f>
        <v>0</v>
      </c>
      <c r="D7" s="70">
        <f>COUNTIFS('Expression of Interest'!H:H, $A7, 'Expression of Interest'!G:G, "F")</f>
        <v>0</v>
      </c>
      <c r="E7" s="70">
        <f>COUNTIFS('Expression of Interest'!H:H, $A7, 'Expression of Interest'!J:J, "Yes")</f>
        <v>0</v>
      </c>
      <c r="F7" s="70">
        <f>COUNTIFS('Expression of Interest'!H:H, $A7, 'Expression of Interest'!K:K, "Yes")</f>
        <v>0</v>
      </c>
      <c r="G7" s="70">
        <f>IFERROR(__xludf.DUMMYFUNCTION("COUNTA(UNIQUE(FILTER('Expression of Interest'!$M$2:$M$498, 'Expression of Interest'!$H$2:$H$498=$A7)))"),0.0)</f>
        <v>0</v>
      </c>
      <c r="H7" s="70">
        <f>COUNTIFS('Expression of Interest'!H:H, $A7, 'Expression of Interest'!F:F, "Yes")</f>
        <v>0</v>
      </c>
      <c r="L7" s="69">
        <f>COUNTIFS('Expression of Interest'!M:M, $K7)</f>
        <v>0</v>
      </c>
      <c r="M7" s="71" t="str">
        <f t="shared" si="1"/>
        <v>#DIV/0!</v>
      </c>
    </row>
    <row r="8">
      <c r="A8" s="73"/>
      <c r="B8" s="69" t="b">
        <f>COUNTIF(DataBase!$B$2:$B$26,A8) &gt; 0</f>
        <v>0</v>
      </c>
      <c r="C8" s="69">
        <f>COUNTIF('Expression of Interest'!$H$2:$H$498, A8)</f>
        <v>0</v>
      </c>
      <c r="D8" s="70">
        <f>COUNTIFS('Expression of Interest'!H:H, $A8, 'Expression of Interest'!G:G, "F")</f>
        <v>0</v>
      </c>
      <c r="E8" s="70">
        <f>COUNTIFS('Expression of Interest'!H:H, $A8, 'Expression of Interest'!J:J, "Yes")</f>
        <v>0</v>
      </c>
      <c r="F8" s="70">
        <f>COUNTIFS('Expression of Interest'!H:H, $A8, 'Expression of Interest'!K:K, "Yes")</f>
        <v>0</v>
      </c>
      <c r="G8" s="70">
        <f>IFERROR(__xludf.DUMMYFUNCTION("COUNTA(UNIQUE(FILTER('Expression of Interest'!$M$2:$M$498, 'Expression of Interest'!$H$2:$H$498=$A8)))"),0.0)</f>
        <v>0</v>
      </c>
      <c r="H8" s="70">
        <f>COUNTIFS('Expression of Interest'!H:H, $A8, 'Expression of Interest'!F:F, "Yes")</f>
        <v>0</v>
      </c>
      <c r="L8" s="69">
        <f>COUNTIFS('Expression of Interest'!M:M, $K8)</f>
        <v>0</v>
      </c>
      <c r="M8" s="71" t="str">
        <f t="shared" si="1"/>
        <v>#DIV/0!</v>
      </c>
    </row>
    <row r="9">
      <c r="B9" s="69" t="b">
        <f>COUNTIF(DataBase!$B$2:$B$26,A9) &gt; 0</f>
        <v>0</v>
      </c>
      <c r="C9" s="69">
        <f>COUNTIF('Expression of Interest'!$H$2:$H$498, A9)</f>
        <v>0</v>
      </c>
      <c r="D9" s="70">
        <f>COUNTIFS('Expression of Interest'!H:H, $A9, 'Expression of Interest'!G:G, "F")</f>
        <v>0</v>
      </c>
      <c r="E9" s="70">
        <f>COUNTIFS('Expression of Interest'!H:H, $A9, 'Expression of Interest'!J:J, "Yes")</f>
        <v>0</v>
      </c>
      <c r="F9" s="70">
        <f>COUNTIFS('Expression of Interest'!H:H, $A9, 'Expression of Interest'!K:K, "Yes")</f>
        <v>0</v>
      </c>
      <c r="G9" s="70">
        <f>IFERROR(__xludf.DUMMYFUNCTION("COUNTA(UNIQUE(FILTER('Expression of Interest'!$M$2:$M$498, 'Expression of Interest'!$H$2:$H$498=$A9)))"),0.0)</f>
        <v>0</v>
      </c>
      <c r="H9" s="70">
        <f>COUNTIFS('Expression of Interest'!H:H, $A9, 'Expression of Interest'!F:F, "Yes")</f>
        <v>0</v>
      </c>
      <c r="L9" s="69">
        <f>COUNTIFS('Expression of Interest'!M:M, $K9)</f>
        <v>0</v>
      </c>
      <c r="M9" s="71" t="str">
        <f t="shared" si="1"/>
        <v>#DIV/0!</v>
      </c>
    </row>
    <row r="10">
      <c r="B10" s="69" t="b">
        <f>COUNTIF(DataBase!$B$2:$B$26,A10) &gt; 0</f>
        <v>0</v>
      </c>
      <c r="C10" s="69">
        <f>COUNTIF('Expression of Interest'!$H$2:$H$498, A10)</f>
        <v>0</v>
      </c>
      <c r="D10" s="70">
        <f>COUNTIFS('Expression of Interest'!H:H, $A10, 'Expression of Interest'!G:G, "F")</f>
        <v>0</v>
      </c>
      <c r="E10" s="70">
        <f>COUNTIFS('Expression of Interest'!H:H, $A10, 'Expression of Interest'!J:J, "Yes")</f>
        <v>0</v>
      </c>
      <c r="F10" s="70">
        <f>COUNTIFS('Expression of Interest'!H:H, $A10, 'Expression of Interest'!K:K, "Yes")</f>
        <v>0</v>
      </c>
      <c r="G10" s="70">
        <f>IFERROR(__xludf.DUMMYFUNCTION("COUNTA(UNIQUE(FILTER('Expression of Interest'!$M$2:$M$498, 'Expression of Interest'!$H$2:$H$498=$A10)))"),0.0)</f>
        <v>0</v>
      </c>
      <c r="H10" s="70">
        <f>COUNTIFS('Expression of Interest'!H:H, $A10, 'Expression of Interest'!F:F, "Yes")</f>
        <v>0</v>
      </c>
      <c r="L10" s="69">
        <f>COUNTIFS('Expression of Interest'!M:M, $K10)</f>
        <v>0</v>
      </c>
      <c r="M10" s="71" t="str">
        <f t="shared" si="1"/>
        <v>#DIV/0!</v>
      </c>
    </row>
    <row r="11">
      <c r="B11" s="69" t="b">
        <f>COUNTIF(DataBase!$B$2:$B$26,A11) &gt; 0</f>
        <v>0</v>
      </c>
      <c r="C11" s="69">
        <f>COUNTIF('Expression of Interest'!$H$2:$H$498, A11)</f>
        <v>0</v>
      </c>
      <c r="D11" s="70">
        <f>COUNTIFS('Expression of Interest'!H:H, $A11, 'Expression of Interest'!G:G, "F")</f>
        <v>0</v>
      </c>
      <c r="E11" s="70">
        <f>COUNTIFS('Expression of Interest'!H:H, $A11, 'Expression of Interest'!J:J, "Yes")</f>
        <v>0</v>
      </c>
      <c r="F11" s="70">
        <f>COUNTIFS('Expression of Interest'!H:H, $A11, 'Expression of Interest'!K:K, "Yes")</f>
        <v>0</v>
      </c>
      <c r="G11" s="70">
        <f>IFERROR(__xludf.DUMMYFUNCTION("COUNTA(UNIQUE(FILTER('Expression of Interest'!$M$2:$M$498, 'Expression of Interest'!$H$2:$H$498=$A11)))"),0.0)</f>
        <v>0</v>
      </c>
      <c r="H11" s="70">
        <f>COUNTIFS('Expression of Interest'!H:H, $A11, 'Expression of Interest'!F:F, "Yes")</f>
        <v>0</v>
      </c>
      <c r="L11" s="69">
        <f>COUNTIFS('Expression of Interest'!M:M, $K11)</f>
        <v>0</v>
      </c>
      <c r="M11" s="71" t="str">
        <f t="shared" si="1"/>
        <v>#DIV/0!</v>
      </c>
    </row>
    <row r="12">
      <c r="B12" s="69" t="b">
        <f>COUNTIF(DataBase!$B$2:$B$26,A12) &gt; 0</f>
        <v>0</v>
      </c>
      <c r="C12" s="69">
        <f>COUNTIF('Expression of Interest'!$H$2:$H$498, A12)</f>
        <v>0</v>
      </c>
      <c r="D12" s="70">
        <f>COUNTIFS('Expression of Interest'!H:H, $A13, 'Expression of Interest'!G:G, "F")</f>
        <v>0</v>
      </c>
      <c r="E12" s="70">
        <f>COUNTIFS('Expression of Interest'!H:H, $A13, 'Expression of Interest'!J:J, "Yes")</f>
        <v>0</v>
      </c>
      <c r="F12" s="70">
        <f>COUNTIFS('Expression of Interest'!H:H, $A12, 'Expression of Interest'!K:K, "Yes")</f>
        <v>0</v>
      </c>
      <c r="G12" s="70">
        <f>IFERROR(__xludf.DUMMYFUNCTION("COUNTA(UNIQUE(FILTER('Expression of Interest'!$M$2:$M$498, 'Expression of Interest'!$H$2:$H$498=$A13)))"),0.0)</f>
        <v>0</v>
      </c>
      <c r="H12" s="70">
        <f>COUNTIFS('Expression of Interest'!H:H, $A12, 'Expression of Interest'!F:F, "Yes")</f>
        <v>0</v>
      </c>
      <c r="L12" s="69">
        <f>COUNTIFS('Expression of Interest'!M:M, $K12)</f>
        <v>0</v>
      </c>
      <c r="M12" s="71" t="str">
        <f t="shared" si="1"/>
        <v>#DIV/0!</v>
      </c>
    </row>
    <row r="13">
      <c r="B13" s="69" t="b">
        <f>COUNTIF(DataBase!$B$2:$B$26,A13) &gt; 0</f>
        <v>0</v>
      </c>
      <c r="C13" s="69">
        <f>COUNTIF('Expression of Interest'!$H$2:$H$498, A13)</f>
        <v>0</v>
      </c>
      <c r="D13" s="70">
        <f>COUNTIFS('Expression of Interest'!H:H, $A14, 'Expression of Interest'!G:G, "F")</f>
        <v>0</v>
      </c>
      <c r="E13" s="70">
        <f>COUNTIFS('Expression of Interest'!H:H, $A14, 'Expression of Interest'!J:J, "Yes")</f>
        <v>0</v>
      </c>
      <c r="F13" s="70">
        <f>COUNTIFS('Expression of Interest'!H:H, $A13, 'Expression of Interest'!K:K, "Yes")</f>
        <v>0</v>
      </c>
      <c r="G13" s="70">
        <f>IFERROR(__xludf.DUMMYFUNCTION("COUNTA(UNIQUE(FILTER('Expression of Interest'!$M$2:$M$498, 'Expression of Interest'!$H$2:$H$498=$A14)))"),0.0)</f>
        <v>0</v>
      </c>
      <c r="H13" s="70">
        <f>COUNTIFS('Expression of Interest'!H:H, $A13, 'Expression of Interest'!F:F, "Yes")</f>
        <v>0</v>
      </c>
      <c r="L13" s="69">
        <f>COUNTIFS('Expression of Interest'!M:M, $K13)</f>
        <v>0</v>
      </c>
      <c r="M13" s="71" t="str">
        <f t="shared" si="1"/>
        <v>#DIV/0!</v>
      </c>
    </row>
    <row r="14">
      <c r="B14" s="69" t="b">
        <f>COUNTIF(DataBase!$B$2:$B$26,A14) &gt; 0</f>
        <v>0</v>
      </c>
      <c r="C14" s="69">
        <f>COUNTIF('Expression of Interest'!$H$2:$H$498, A14)</f>
        <v>0</v>
      </c>
      <c r="D14" s="70">
        <f>COUNTIFS('Expression of Interest'!H:H, $A14, 'Expression of Interest'!G:G, "F")</f>
        <v>0</v>
      </c>
      <c r="E14" s="70">
        <f>COUNTIFS('Expression of Interest'!H:H, $A14, 'Expression of Interest'!J:J, "Yes")</f>
        <v>0</v>
      </c>
      <c r="F14" s="70">
        <f>COUNTIFS('Expression of Interest'!H:H, $A14, 'Expression of Interest'!K:K, "Yes")</f>
        <v>0</v>
      </c>
      <c r="G14" s="70">
        <f>IFERROR(__xludf.DUMMYFUNCTION("COUNTA(UNIQUE(FILTER('Expression of Interest'!$M$2:$M$498, 'Expression of Interest'!$H$2:$H$498=$A14)))"),0.0)</f>
        <v>0</v>
      </c>
      <c r="H14" s="70">
        <f>COUNTIFS('Expression of Interest'!H:H, $A14, 'Expression of Interest'!F:F, "Yes")</f>
        <v>0</v>
      </c>
      <c r="L14" s="69">
        <f>SUM(L3:L13)</f>
        <v>0</v>
      </c>
    </row>
    <row r="15">
      <c r="B15" s="69" t="b">
        <f>COUNTIF(DataBase!$B$2:$B$26,A15) &gt; 0</f>
        <v>0</v>
      </c>
      <c r="C15" s="69">
        <f>COUNTIF('Expression of Interest'!$H$2:$H$498, A15)</f>
        <v>0</v>
      </c>
      <c r="D15" s="70">
        <f>COUNTIFS('Expression of Interest'!H:H, $A15, 'Expression of Interest'!G:G, "F")</f>
        <v>0</v>
      </c>
      <c r="E15" s="70">
        <f>COUNTIFS('Expression of Interest'!H:H, $A15, 'Expression of Interest'!J:J, "Yes")</f>
        <v>0</v>
      </c>
      <c r="F15" s="70">
        <f>COUNTIFS('Expression of Interest'!H:H, $A15, 'Expression of Interest'!K:K, "Yes")</f>
        <v>0</v>
      </c>
      <c r="G15" s="70">
        <f>IFERROR(__xludf.DUMMYFUNCTION("COUNTA(UNIQUE(FILTER('Expression of Interest'!$M$2:$M$498, 'Expression of Interest'!$H$2:$H$498=$A15)))"),0.0)</f>
        <v>0</v>
      </c>
      <c r="H15" s="70">
        <f>COUNTIFS('Expression of Interest'!H:H, $A15, 'Expression of Interest'!F:F, "Yes")</f>
        <v>0</v>
      </c>
    </row>
    <row r="16">
      <c r="A16" s="73"/>
      <c r="B16" s="69" t="b">
        <f>COUNTIF(DataBase!$B$2:$B$26,A16) &gt; 0</f>
        <v>0</v>
      </c>
      <c r="C16" s="69">
        <f>COUNTIF('Expression of Interest'!$H$2:$H$498, A16)</f>
        <v>0</v>
      </c>
      <c r="D16" s="70">
        <f>COUNTIFS('Expression of Interest'!H:H, $A16, 'Expression of Interest'!G:G, "F")</f>
        <v>0</v>
      </c>
      <c r="E16" s="70">
        <f>COUNTIFS('Expression of Interest'!H:H, $A16, 'Expression of Interest'!J:J, "Yes")</f>
        <v>0</v>
      </c>
      <c r="F16" s="70">
        <f>COUNTIFS('Expression of Interest'!H:H, $A16, 'Expression of Interest'!K:K, "Yes")</f>
        <v>0</v>
      </c>
      <c r="G16" s="70">
        <f>IFERROR(__xludf.DUMMYFUNCTION("COUNTA(UNIQUE(FILTER('Expression of Interest'!$M$2:$M$498, 'Expression of Interest'!$H$2:$H$498=$A16)))"),0.0)</f>
        <v>0</v>
      </c>
      <c r="H16" s="70">
        <f>COUNTIFS('Expression of Interest'!H:H, $A16, 'Expression of Interest'!F:F, "Yes")</f>
        <v>0</v>
      </c>
    </row>
    <row r="17">
      <c r="B17" s="69" t="b">
        <f>COUNTIF(DataBase!$B$2:$B$26,A17) &gt; 0</f>
        <v>0</v>
      </c>
      <c r="C17" s="69">
        <f>COUNTIF('Expression of Interest'!$H$2:$H$498, A17)</f>
        <v>0</v>
      </c>
      <c r="D17" s="70">
        <f>COUNTIFS('Expression of Interest'!H:H, $A17, 'Expression of Interest'!G:G, "F")</f>
        <v>0</v>
      </c>
      <c r="E17" s="70">
        <f>COUNTIFS('Expression of Interest'!H:H, $A17, 'Expression of Interest'!J:J, "Yes")</f>
        <v>0</v>
      </c>
      <c r="F17" s="70">
        <f>COUNTIFS('Expression of Interest'!H:H, $A17, 'Expression of Interest'!K:K, "Yes")</f>
        <v>0</v>
      </c>
      <c r="G17" s="70">
        <f>IFERROR(__xludf.DUMMYFUNCTION("COUNTA(UNIQUE(FILTER('Expression of Interest'!$M$2:$M$498, 'Expression of Interest'!$H$2:$H$498=$A17)))"),0.0)</f>
        <v>0</v>
      </c>
      <c r="H17" s="70">
        <f>COUNTIFS('Expression of Interest'!H:H, $A17, 'Expression of Interest'!F:F, "Yes")</f>
        <v>0</v>
      </c>
    </row>
    <row r="18">
      <c r="B18" s="69" t="b">
        <f>COUNTIF(DataBase!$B$2:$B$26,A18) &gt; 0</f>
        <v>0</v>
      </c>
      <c r="C18" s="69">
        <f>COUNTIF('Expression of Interest'!$H$2:$H$498, A18)</f>
        <v>0</v>
      </c>
      <c r="D18" s="70">
        <f>COUNTIFS('Expression of Interest'!H:H, $A18, 'Expression of Interest'!G:G, "F")</f>
        <v>0</v>
      </c>
      <c r="E18" s="70">
        <f>COUNTIFS('Expression of Interest'!H:H, $A18, 'Expression of Interest'!J:J, "Yes")</f>
        <v>0</v>
      </c>
      <c r="F18" s="70">
        <f>COUNTIFS('Expression of Interest'!H:H, $A18, 'Expression of Interest'!K:K, "Yes")</f>
        <v>0</v>
      </c>
      <c r="G18" s="70">
        <f>IFERROR(__xludf.DUMMYFUNCTION("COUNTA(UNIQUE(FILTER('Expression of Interest'!$M$2:$M$498, 'Expression of Interest'!$H$2:$H$498=$A18)))"),0.0)</f>
        <v>0</v>
      </c>
      <c r="H18" s="70">
        <f>COUNTIFS('Expression of Interest'!H:H, $A18, 'Expression of Interest'!F:F, "Yes")</f>
        <v>0</v>
      </c>
      <c r="K18" s="66" t="s">
        <v>101</v>
      </c>
    </row>
    <row r="19">
      <c r="B19" s="69" t="b">
        <f>COUNTIF(DataBase!$B$2:$B$26,A19) &gt; 0</f>
        <v>0</v>
      </c>
      <c r="C19" s="69">
        <f>COUNTIF('Expression of Interest'!$H$2:$H$498, A19)</f>
        <v>0</v>
      </c>
      <c r="D19" s="70">
        <f>COUNTIFS('Expression of Interest'!H:H, $A19, 'Expression of Interest'!G:G, "F")</f>
        <v>0</v>
      </c>
      <c r="E19" s="70">
        <f>COUNTIFS('Expression of Interest'!H:H, $A19, 'Expression of Interest'!J:J, "Yes")</f>
        <v>0</v>
      </c>
      <c r="F19" s="70">
        <f>COUNTIFS('Expression of Interest'!H:H, $A19, 'Expression of Interest'!K:K, "Yes")</f>
        <v>0</v>
      </c>
      <c r="G19" s="70">
        <f>IFERROR(__xludf.DUMMYFUNCTION("COUNTA(UNIQUE(FILTER('Expression of Interest'!$M$2:$M$498, 'Expression of Interest'!$H$2:$H$498=$A19)))"),0.0)</f>
        <v>0</v>
      </c>
      <c r="H19" s="70">
        <f>COUNTIFS('Expression of Interest'!H:H, $A19, 'Expression of Interest'!F:F, "Yes")</f>
        <v>0</v>
      </c>
      <c r="K19" s="69" t="str">
        <f>IFERROR(__xludf.DUMMYFUNCTION("FILTER(DataBase!A2:A42, ISNA(MATCH(DataBase!A2:A42, A3:A48, 0)))
"),"Albania")</f>
        <v>Albania</v>
      </c>
    </row>
    <row r="20">
      <c r="A20" s="73"/>
      <c r="B20" s="69" t="b">
        <f>COUNTIF(DataBase!$B$2:$B$26,A20) &gt; 0</f>
        <v>0</v>
      </c>
      <c r="C20" s="69">
        <f>COUNTIF('Expression of Interest'!$H$2:$H$498, A20)</f>
        <v>0</v>
      </c>
      <c r="D20" s="70">
        <f>COUNTIFS('Expression of Interest'!H:H, $A20, 'Expression of Interest'!G:G, "F")</f>
        <v>0</v>
      </c>
      <c r="E20" s="70">
        <f>COUNTIFS('Expression of Interest'!H:H, $A20, 'Expression of Interest'!J:J, "Yes")</f>
        <v>0</v>
      </c>
      <c r="F20" s="70">
        <f>COUNTIFS('Expression of Interest'!H:H, $A20, 'Expression of Interest'!K:K, "Yes")</f>
        <v>0</v>
      </c>
      <c r="G20" s="70">
        <f>IFERROR(__xludf.DUMMYFUNCTION("COUNTA(UNIQUE(FILTER('Expression of Interest'!$M$2:$M$498, 'Expression of Interest'!$H$2:$H$498=$A20)))"),0.0)</f>
        <v>0</v>
      </c>
      <c r="H20" s="70">
        <f>COUNTIFS('Expression of Interest'!H:H, $A20, 'Expression of Interest'!F:F, "Yes")</f>
        <v>0</v>
      </c>
      <c r="K20" s="69" t="str">
        <f>IFERROR(__xludf.DUMMYFUNCTION("""COMPUTED_VALUE"""),"Armenia")</f>
        <v>Armenia</v>
      </c>
    </row>
    <row r="21">
      <c r="B21" s="69" t="b">
        <f>COUNTIF(DataBase!$B$2:$B$26,A21) &gt; 0</f>
        <v>0</v>
      </c>
      <c r="C21" s="69">
        <f>COUNTIF('Expression of Interest'!$H$2:$H$498, A21)</f>
        <v>0</v>
      </c>
      <c r="D21" s="70">
        <f>COUNTIFS('Expression of Interest'!H:H, $A21, 'Expression of Interest'!G:G, "F")</f>
        <v>0</v>
      </c>
      <c r="E21" s="70">
        <f>COUNTIFS('Expression of Interest'!H:H, $A21, 'Expression of Interest'!J:J, "Yes")</f>
        <v>0</v>
      </c>
      <c r="F21" s="70">
        <f>COUNTIFS('Expression of Interest'!H:H, $A21, 'Expression of Interest'!K:K, "Yes")</f>
        <v>0</v>
      </c>
      <c r="G21" s="70">
        <f>IFERROR(__xludf.DUMMYFUNCTION("COUNTA(UNIQUE(FILTER('Expression of Interest'!$M$2:$M$498, 'Expression of Interest'!$H$2:$H$498=$A21)))"),0.0)</f>
        <v>0</v>
      </c>
      <c r="H21" s="70">
        <f>COUNTIFS('Expression of Interest'!H:H, $A21, 'Expression of Interest'!F:F, "Yes")</f>
        <v>0</v>
      </c>
      <c r="K21" s="69" t="str">
        <f>IFERROR(__xludf.DUMMYFUNCTION("""COMPUTED_VALUE"""),"Austria")</f>
        <v>Austria</v>
      </c>
    </row>
    <row r="22">
      <c r="A22" s="73"/>
      <c r="B22" s="69" t="b">
        <f>COUNTIF(DataBase!$B$2:$B$26,A22) &gt; 0</f>
        <v>0</v>
      </c>
      <c r="C22" s="69">
        <f>COUNTIF('Expression of Interest'!$H$2:$H$498, A22)</f>
        <v>0</v>
      </c>
      <c r="D22" s="70">
        <f>COUNTIFS('Expression of Interest'!H:H, $A22, 'Expression of Interest'!G:G, "F")</f>
        <v>0</v>
      </c>
      <c r="E22" s="70">
        <f>COUNTIFS('Expression of Interest'!H:H, $A22, 'Expression of Interest'!J:J, "Yes")</f>
        <v>0</v>
      </c>
      <c r="F22" s="70">
        <f>COUNTIFS('Expression of Interest'!H:H, $A22, 'Expression of Interest'!K:K, "Yes")</f>
        <v>0</v>
      </c>
      <c r="G22" s="70">
        <f>IFERROR(__xludf.DUMMYFUNCTION("COUNTA(UNIQUE(FILTER('Expression of Interest'!$M$2:$M$498, 'Expression of Interest'!$H$2:$H$498=$A22)))"),0.0)</f>
        <v>0</v>
      </c>
      <c r="H22" s="70">
        <f>COUNTIFS('Expression of Interest'!H:H, $A22, 'Expression of Interest'!F:F, "Yes")</f>
        <v>0</v>
      </c>
      <c r="K22" s="69" t="str">
        <f>IFERROR(__xludf.DUMMYFUNCTION("""COMPUTED_VALUE"""),"Belgium")</f>
        <v>Belgium</v>
      </c>
    </row>
    <row r="23">
      <c r="A23" s="73"/>
      <c r="B23" s="69" t="b">
        <f>COUNTIF(DataBase!$B$2:$B$26,A23) &gt; 0</f>
        <v>0</v>
      </c>
      <c r="C23" s="69">
        <f>COUNTIF('Expression of Interest'!$H$2:$H$498, A23)</f>
        <v>0</v>
      </c>
      <c r="D23" s="70">
        <f>COUNTIFS('Expression of Interest'!H:H, $A23, 'Expression of Interest'!G:G, "F")</f>
        <v>0</v>
      </c>
      <c r="E23" s="70">
        <f>COUNTIFS('Expression of Interest'!H:H, $A23, 'Expression of Interest'!J:J, "Yes")</f>
        <v>0</v>
      </c>
      <c r="F23" s="70">
        <f>COUNTIFS('Expression of Interest'!H:H, $A23, 'Expression of Interest'!K:K, "Yes")</f>
        <v>0</v>
      </c>
      <c r="G23" s="70">
        <f>IFERROR(__xludf.DUMMYFUNCTION("COUNTA(UNIQUE(FILTER('Expression of Interest'!$M$2:$M$498, 'Expression of Interest'!$H$2:$H$498=$A23)))"),0.0)</f>
        <v>0</v>
      </c>
      <c r="H23" s="70">
        <f>COUNTIFS('Expression of Interest'!H:H, $A23, 'Expression of Interest'!F:F, "Yes")</f>
        <v>0</v>
      </c>
      <c r="K23" s="69" t="str">
        <f>IFERROR(__xludf.DUMMYFUNCTION("""COMPUTED_VALUE"""),"Bosnia and Herzegovina")</f>
        <v>Bosnia and Herzegovina</v>
      </c>
    </row>
    <row r="24">
      <c r="B24" s="69" t="b">
        <f>COUNTIF(DataBase!$B$2:$B$26,A24) &gt; 0</f>
        <v>0</v>
      </c>
      <c r="C24" s="69">
        <f>COUNTIF('Expression of Interest'!$H$2:$H$498, A24)</f>
        <v>0</v>
      </c>
      <c r="D24" s="70">
        <f>COUNTIFS('Expression of Interest'!H:H, $A24, 'Expression of Interest'!G:G, "F")</f>
        <v>0</v>
      </c>
      <c r="E24" s="70">
        <f>COUNTIFS('Expression of Interest'!H:H, $A24, 'Expression of Interest'!J:J, "Yes")</f>
        <v>0</v>
      </c>
      <c r="F24" s="70">
        <f>COUNTIFS('Expression of Interest'!H:H, $A24, 'Expression of Interest'!K:K, "Yes")</f>
        <v>0</v>
      </c>
      <c r="G24" s="70">
        <f>IFERROR(__xludf.DUMMYFUNCTION("COUNTA(UNIQUE(FILTER('Expression of Interest'!$M$2:$M$498, 'Expression of Interest'!$H$2:$H$498=$A24)))"),0.0)</f>
        <v>0</v>
      </c>
      <c r="H24" s="70">
        <f>COUNTIFS('Expression of Interest'!H:H, $A24, 'Expression of Interest'!F:F, "Yes")</f>
        <v>0</v>
      </c>
      <c r="K24" s="69" t="str">
        <f>IFERROR(__xludf.DUMMYFUNCTION("""COMPUTED_VALUE"""),"Bulgaria")</f>
        <v>Bulgaria</v>
      </c>
    </row>
    <row r="25">
      <c r="B25" s="69" t="b">
        <f>COUNTIF(DataBase!$B$2:$B$26,A25) &gt; 0</f>
        <v>0</v>
      </c>
      <c r="C25" s="69">
        <f>COUNTIF('Expression of Interest'!$H$2:$H$498, A25)</f>
        <v>0</v>
      </c>
      <c r="D25" s="70">
        <f>COUNTIFS('Expression of Interest'!H:H, $A25, 'Expression of Interest'!G:G, "F")</f>
        <v>0</v>
      </c>
      <c r="E25" s="70">
        <f>COUNTIFS('Expression of Interest'!H:H, $A25, 'Expression of Interest'!J:J, "Yes")</f>
        <v>0</v>
      </c>
      <c r="F25" s="70">
        <f>COUNTIFS('Expression of Interest'!H:H, $A25, 'Expression of Interest'!K:K, "Yes")</f>
        <v>0</v>
      </c>
      <c r="G25" s="70">
        <f>IFERROR(__xludf.DUMMYFUNCTION("COUNTA(UNIQUE(FILTER('Expression of Interest'!$M$2:$M$498, 'Expression of Interest'!$H$2:$H$498=$A25)))"),0.0)</f>
        <v>0</v>
      </c>
      <c r="H25" s="70">
        <f>COUNTIFS('Expression of Interest'!H:H, $A25, 'Expression of Interest'!F:F, "Yes")</f>
        <v>0</v>
      </c>
      <c r="K25" s="69" t="str">
        <f>IFERROR(__xludf.DUMMYFUNCTION("""COMPUTED_VALUE"""),"Croatia")</f>
        <v>Croatia</v>
      </c>
    </row>
    <row r="26">
      <c r="A26" s="73"/>
      <c r="B26" s="69" t="b">
        <f>COUNTIF(DataBase!$B$2:$B$26,A26) &gt; 0</f>
        <v>0</v>
      </c>
      <c r="C26" s="69">
        <f>COUNTIF('Expression of Interest'!$H$2:$H$498, A26)</f>
        <v>0</v>
      </c>
      <c r="D26" s="70">
        <f>COUNTIFS('Expression of Interest'!H:H, $A26, 'Expression of Interest'!G:G, "F")</f>
        <v>0</v>
      </c>
      <c r="E26" s="70">
        <f>COUNTIFS('Expression of Interest'!H:H, $A26, 'Expression of Interest'!J:J, "Yes")</f>
        <v>0</v>
      </c>
      <c r="F26" s="70">
        <f>COUNTIFS('Expression of Interest'!H:H, $A26, 'Expression of Interest'!K:K, "Yes")</f>
        <v>0</v>
      </c>
      <c r="G26" s="70">
        <f>IFERROR(__xludf.DUMMYFUNCTION("COUNTA(UNIQUE(FILTER('Expression of Interest'!$M$2:$M$498, 'Expression of Interest'!$H$2:$H$498=$A26)))"),0.0)</f>
        <v>0</v>
      </c>
      <c r="H26" s="70">
        <f>COUNTIFS('Expression of Interest'!H:H, $A26, 'Expression of Interest'!F:F, "Yes")</f>
        <v>0</v>
      </c>
      <c r="K26" s="69" t="str">
        <f>IFERROR(__xludf.DUMMYFUNCTION("""COMPUTED_VALUE"""),"Cyprus")</f>
        <v>Cyprus</v>
      </c>
    </row>
    <row r="27">
      <c r="B27" s="69" t="b">
        <f>COUNTIF(DataBase!$B$2:$B$26,A27) &gt; 0</f>
        <v>0</v>
      </c>
      <c r="C27" s="69">
        <f>COUNTIF('Expression of Interest'!$H$2:$H$498, A27)</f>
        <v>0</v>
      </c>
      <c r="D27" s="70">
        <f>COUNTIFS('Expression of Interest'!H:H, $A27, 'Expression of Interest'!G:G, "F")</f>
        <v>0</v>
      </c>
      <c r="E27" s="70">
        <f>COUNTIFS('Expression of Interest'!H:H, $A27, 'Expression of Interest'!J:J, "Yes")</f>
        <v>0</v>
      </c>
      <c r="F27" s="70">
        <f>COUNTIFS('Expression of Interest'!H:H, $A27, 'Expression of Interest'!K:K, "Yes")</f>
        <v>0</v>
      </c>
      <c r="G27" s="70">
        <f>IFERROR(__xludf.DUMMYFUNCTION("COUNTA(UNIQUE(FILTER('Expression of Interest'!$M$2:$M$498, 'Expression of Interest'!$H$2:$H$498=$A27)))"),0.0)</f>
        <v>0</v>
      </c>
      <c r="H27" s="70">
        <f>COUNTIFS('Expression of Interest'!H:H, $A27, 'Expression of Interest'!F:F, "Yes")</f>
        <v>0</v>
      </c>
      <c r="K27" s="69" t="str">
        <f>IFERROR(__xludf.DUMMYFUNCTION("""COMPUTED_VALUE"""),"Czech Republic")</f>
        <v>Czech Republic</v>
      </c>
    </row>
    <row r="28">
      <c r="A28" s="73"/>
      <c r="B28" s="69" t="b">
        <f>COUNTIF(DataBase!$B$2:$B$26,A28) &gt; 0</f>
        <v>0</v>
      </c>
      <c r="C28" s="69">
        <f>COUNTIF('Expression of Interest'!$H$2:$H$498, A28)</f>
        <v>0</v>
      </c>
      <c r="D28" s="70">
        <f>COUNTIFS('Expression of Interest'!H:H, $A28, 'Expression of Interest'!G:G, "F")</f>
        <v>0</v>
      </c>
      <c r="E28" s="70">
        <f>COUNTIFS('Expression of Interest'!H:H, $A28, 'Expression of Interest'!J:J, "Yes")</f>
        <v>0</v>
      </c>
      <c r="F28" s="70">
        <f>COUNTIFS('Expression of Interest'!H:H, $A28, 'Expression of Interest'!K:K, "Yes")</f>
        <v>0</v>
      </c>
      <c r="G28" s="70">
        <f>IFERROR(__xludf.DUMMYFUNCTION("COUNTA(UNIQUE(FILTER('Expression of Interest'!$M$2:$M$498, 'Expression of Interest'!$H$2:$H$498=$A28)))"),0.0)</f>
        <v>0</v>
      </c>
      <c r="H28" s="70">
        <f>COUNTIFS('Expression of Interest'!H:H, $A28, 'Expression of Interest'!F:F, "Yes")</f>
        <v>0</v>
      </c>
      <c r="K28" s="69" t="str">
        <f>IFERROR(__xludf.DUMMYFUNCTION("""COMPUTED_VALUE"""),"Denmark")</f>
        <v>Denmark</v>
      </c>
    </row>
    <row r="29">
      <c r="B29" s="69" t="b">
        <f>COUNTIF(DataBase!$B$2:$B$26,A29) &gt; 0</f>
        <v>0</v>
      </c>
      <c r="C29" s="69">
        <f>COUNTIF('Expression of Interest'!$H$2:$H$498, A29)</f>
        <v>0</v>
      </c>
      <c r="D29" s="70">
        <f>COUNTIFS('Expression of Interest'!H:H, $A29, 'Expression of Interest'!G:G, "F")</f>
        <v>0</v>
      </c>
      <c r="E29" s="70">
        <f>COUNTIFS('Expression of Interest'!H:H, $A29, 'Expression of Interest'!J:J, "Yes")</f>
        <v>0</v>
      </c>
      <c r="F29" s="70">
        <f>COUNTIFS('Expression of Interest'!H:H, $A29, 'Expression of Interest'!K:K, "Yes")</f>
        <v>0</v>
      </c>
      <c r="G29" s="70">
        <f>IFERROR(__xludf.DUMMYFUNCTION("COUNTA(UNIQUE(FILTER('Expression of Interest'!$M$2:$M$498, 'Expression of Interest'!$H$2:$H$498=$A29)))"),0.0)</f>
        <v>0</v>
      </c>
      <c r="H29" s="70">
        <f>COUNTIFS('Expression of Interest'!H:H, $A29, 'Expression of Interest'!F:F, "Yes")</f>
        <v>0</v>
      </c>
      <c r="K29" s="69" t="str">
        <f>IFERROR(__xludf.DUMMYFUNCTION("""COMPUTED_VALUE"""),"Estonia")</f>
        <v>Estonia</v>
      </c>
    </row>
    <row r="30">
      <c r="B30" s="69" t="b">
        <f>COUNTIF(DataBase!$B$2:$B$26,A30) &gt; 0</f>
        <v>0</v>
      </c>
      <c r="C30" s="69">
        <f>COUNTIF('Expression of Interest'!$H$2:$H$498, A30)</f>
        <v>0</v>
      </c>
      <c r="D30" s="70">
        <f>COUNTIFS('Expression of Interest'!H:H, $A30, 'Expression of Interest'!G:G, "F")</f>
        <v>0</v>
      </c>
      <c r="E30" s="70">
        <f>COUNTIFS('Expression of Interest'!H:H, $A30, 'Expression of Interest'!J:J, "Yes")</f>
        <v>0</v>
      </c>
      <c r="F30" s="70">
        <f>COUNTIFS('Expression of Interest'!H:H, $A30, 'Expression of Interest'!K:K, "Yes")</f>
        <v>0</v>
      </c>
      <c r="G30" s="70">
        <f>IFERROR(__xludf.DUMMYFUNCTION("COUNTA(UNIQUE(FILTER('Expression of Interest'!$M$2:$M$498, 'Expression of Interest'!$H$2:$H$498=$A30)))"),0.0)</f>
        <v>0</v>
      </c>
      <c r="H30" s="70">
        <f>COUNTIFS('Expression of Interest'!H:H, $A30, 'Expression of Interest'!F:F, "Yes")</f>
        <v>0</v>
      </c>
      <c r="K30" s="69" t="str">
        <f>IFERROR(__xludf.DUMMYFUNCTION("""COMPUTED_VALUE"""),"Finland")</f>
        <v>Finland</v>
      </c>
    </row>
    <row r="31">
      <c r="A31" s="72"/>
      <c r="B31" s="69" t="b">
        <f>COUNTIF(DataBase!$B$2:$B$26,A31) &gt; 0</f>
        <v>0</v>
      </c>
      <c r="C31" s="69">
        <f>COUNTIF('Expression of Interest'!$H$2:$H$498, A31)</f>
        <v>0</v>
      </c>
      <c r="D31" s="70">
        <f>COUNTIFS('Expression of Interest'!H:H, $A31, 'Expression of Interest'!G:G, "F")</f>
        <v>0</v>
      </c>
      <c r="E31" s="70">
        <f>COUNTIFS('Expression of Interest'!H:H, $A31, 'Expression of Interest'!J:J, "Yes")</f>
        <v>0</v>
      </c>
      <c r="F31" s="70">
        <f>COUNTIFS('Expression of Interest'!H:H, $A31, 'Expression of Interest'!K:K, "Yes")</f>
        <v>0</v>
      </c>
      <c r="G31" s="70">
        <f>IFERROR(__xludf.DUMMYFUNCTION("COUNTA(UNIQUE(FILTER('Expression of Interest'!$M$2:$M$498, 'Expression of Interest'!$H$2:$H$498=$A31)))"),0.0)</f>
        <v>0</v>
      </c>
      <c r="H31" s="70">
        <f>COUNTIFS('Expression of Interest'!H:H, $A31, 'Expression of Interest'!F:F, "Yes")</f>
        <v>0</v>
      </c>
      <c r="K31" s="69" t="str">
        <f>IFERROR(__xludf.DUMMYFUNCTION("""COMPUTED_VALUE"""),"France")</f>
        <v>France</v>
      </c>
    </row>
    <row r="32">
      <c r="A32" s="73"/>
      <c r="B32" s="69" t="b">
        <f>COUNTIF(DataBase!$B$2:$B$26,A32) &gt; 0</f>
        <v>0</v>
      </c>
      <c r="C32" s="69">
        <f>COUNTIF('Expression of Interest'!$H$2:$H$498, A32)</f>
        <v>0</v>
      </c>
      <c r="D32" s="70">
        <f>COUNTIFS('Expression of Interest'!H:H, $A32, 'Expression of Interest'!G:G, "F")</f>
        <v>0</v>
      </c>
      <c r="E32" s="70">
        <f>COUNTIFS('Expression of Interest'!H:H, $A32, 'Expression of Interest'!J:J, "Yes")</f>
        <v>0</v>
      </c>
      <c r="F32" s="70">
        <f>COUNTIFS('Expression of Interest'!H:H, $A32, 'Expression of Interest'!K:K, "Yes")</f>
        <v>0</v>
      </c>
      <c r="G32" s="70">
        <f>IFERROR(__xludf.DUMMYFUNCTION("COUNTA(UNIQUE(FILTER('Expression of Interest'!$M$2:$M$498, 'Expression of Interest'!$H$2:$H$498=$A32)))"),0.0)</f>
        <v>0</v>
      </c>
      <c r="H32" s="70">
        <f>COUNTIFS('Expression of Interest'!H:H, $A32, 'Expression of Interest'!F:F, "Yes")</f>
        <v>0</v>
      </c>
      <c r="K32" s="69" t="str">
        <f>IFERROR(__xludf.DUMMYFUNCTION("""COMPUTED_VALUE"""),"Georgia")</f>
        <v>Georgia</v>
      </c>
    </row>
    <row r="33">
      <c r="A33" s="73"/>
      <c r="B33" s="69" t="b">
        <f>COUNTIF(DataBase!$B$2:$B$26,A33) &gt; 0</f>
        <v>0</v>
      </c>
      <c r="C33" s="69">
        <f>COUNTIF('Expression of Interest'!$H$2:$H$498, A33)</f>
        <v>0</v>
      </c>
      <c r="D33" s="70">
        <f>COUNTIFS('Expression of Interest'!H:H, $A33, 'Expression of Interest'!G:G, "F")</f>
        <v>0</v>
      </c>
      <c r="E33" s="70">
        <f>COUNTIFS('Expression of Interest'!H:H, $A33, 'Expression of Interest'!J:J, "Yes")</f>
        <v>0</v>
      </c>
      <c r="F33" s="70">
        <f>COUNTIFS('Expression of Interest'!H:H, $A33, 'Expression of Interest'!K:K, "Yes")</f>
        <v>0</v>
      </c>
      <c r="G33" s="70">
        <f>IFERROR(__xludf.DUMMYFUNCTION("COUNTA(UNIQUE(FILTER('Expression of Interest'!$M$2:$M$498, 'Expression of Interest'!$H$2:$H$498=$A33)))"),0.0)</f>
        <v>0</v>
      </c>
      <c r="H33" s="70">
        <f>COUNTIFS('Expression of Interest'!H:H, $A33, 'Expression of Interest'!F:F, "Yes")</f>
        <v>0</v>
      </c>
      <c r="K33" s="69" t="str">
        <f>IFERROR(__xludf.DUMMYFUNCTION("""COMPUTED_VALUE"""),"Germany")</f>
        <v>Germany</v>
      </c>
    </row>
    <row r="34">
      <c r="A34" s="73"/>
      <c r="B34" s="69" t="b">
        <f>COUNTIF(DataBase!$B$2:$B$26,A34) &gt; 0</f>
        <v>0</v>
      </c>
      <c r="C34" s="69">
        <f>COUNTIF('Expression of Interest'!$H$2:$H$498, A34)</f>
        <v>0</v>
      </c>
      <c r="D34" s="70">
        <f>COUNTIFS('Expression of Interest'!H:H, $A34, 'Expression of Interest'!G:G, "F")</f>
        <v>0</v>
      </c>
      <c r="E34" s="70">
        <f>COUNTIFS('Expression of Interest'!H:H, $A34, 'Expression of Interest'!J:J, "Yes")</f>
        <v>0</v>
      </c>
      <c r="F34" s="70">
        <f>COUNTIFS('Expression of Interest'!H:H, $A34, 'Expression of Interest'!K:K, "Yes")</f>
        <v>0</v>
      </c>
      <c r="G34" s="70">
        <f>IFERROR(__xludf.DUMMYFUNCTION("COUNTA(UNIQUE(FILTER('Expression of Interest'!$M$2:$M$498, 'Expression of Interest'!$H$2:$H$498=$A34)))"),0.0)</f>
        <v>0</v>
      </c>
      <c r="H34" s="70">
        <f>COUNTIFS('Expression of Interest'!H:H, $A34, 'Expression of Interest'!F:F, "Yes")</f>
        <v>0</v>
      </c>
      <c r="K34" s="69" t="str">
        <f>IFERROR(__xludf.DUMMYFUNCTION("""COMPUTED_VALUE"""),"Greece")</f>
        <v>Greece</v>
      </c>
    </row>
    <row r="35">
      <c r="A35" s="73"/>
      <c r="B35" s="69" t="b">
        <f>COUNTIF(DataBase!$B$2:$B$26,A35) &gt; 0</f>
        <v>0</v>
      </c>
      <c r="C35" s="69">
        <f>COUNTIF('Expression of Interest'!$H$2:$H$498, A35)</f>
        <v>0</v>
      </c>
      <c r="D35" s="70">
        <f>COUNTIFS('Expression of Interest'!H:H, $A35, 'Expression of Interest'!G:G, "F")</f>
        <v>0</v>
      </c>
      <c r="E35" s="70">
        <f>COUNTIFS('Expression of Interest'!H:H, $A35, 'Expression of Interest'!J:J, "Yes")</f>
        <v>0</v>
      </c>
      <c r="F35" s="70">
        <f>COUNTIFS('Expression of Interest'!H:H, $A35, 'Expression of Interest'!K:K, "Yes")</f>
        <v>0</v>
      </c>
      <c r="G35" s="70">
        <f>IFERROR(__xludf.DUMMYFUNCTION("COUNTA(UNIQUE(FILTER('Expression of Interest'!$M$2:$M$498, 'Expression of Interest'!$H$2:$H$498=$A35)))"),0.0)</f>
        <v>0</v>
      </c>
      <c r="H35" s="70">
        <f>COUNTIFS('Expression of Interest'!H:H, $A35, 'Expression of Interest'!F:F, "Yes")</f>
        <v>0</v>
      </c>
      <c r="K35" s="69" t="str">
        <f>IFERROR(__xludf.DUMMYFUNCTION("""COMPUTED_VALUE"""),"Hungary")</f>
        <v>Hungary</v>
      </c>
    </row>
    <row r="36">
      <c r="B36" s="69" t="b">
        <f>COUNTIF(DataBase!$B$2:$B$26,A36) &gt; 0</f>
        <v>0</v>
      </c>
      <c r="C36" s="69">
        <f>COUNTIF('Expression of Interest'!$H$2:$H$498, A36)</f>
        <v>0</v>
      </c>
      <c r="D36" s="70">
        <f>COUNTIFS('Expression of Interest'!H:H, $A36, 'Expression of Interest'!G:G, "F")</f>
        <v>0</v>
      </c>
      <c r="E36" s="70">
        <f>COUNTIFS('Expression of Interest'!H:H, $A36, 'Expression of Interest'!J:J, "Yes")</f>
        <v>0</v>
      </c>
      <c r="F36" s="70">
        <f>COUNTIFS('Expression of Interest'!H:H, $A36, 'Expression of Interest'!K:K, "Yes")</f>
        <v>0</v>
      </c>
      <c r="G36" s="70">
        <f>IFERROR(__xludf.DUMMYFUNCTION("COUNTA(UNIQUE(FILTER('Expression of Interest'!$M$2:$M$498, 'Expression of Interest'!$H$2:$H$498=$A36)))"),0.0)</f>
        <v>0</v>
      </c>
      <c r="H36" s="70">
        <f>COUNTIFS('Expression of Interest'!H:H, $A36, 'Expression of Interest'!F:F, "Yes")</f>
        <v>0</v>
      </c>
      <c r="K36" s="69" t="str">
        <f>IFERROR(__xludf.DUMMYFUNCTION("""COMPUTED_VALUE"""),"Iceland")</f>
        <v>Iceland</v>
      </c>
    </row>
    <row r="37">
      <c r="B37" s="69" t="b">
        <f>COUNTIF(DataBase!$B$2:$B$26,A37) &gt; 0</f>
        <v>0</v>
      </c>
      <c r="C37" s="69">
        <f>COUNTIF('Expression of Interest'!$H$2:$H$498, A37)</f>
        <v>0</v>
      </c>
      <c r="D37" s="70">
        <f>COUNTIFS('Expression of Interest'!H:H, $A37, 'Expression of Interest'!G:G, "F")</f>
        <v>0</v>
      </c>
      <c r="E37" s="70">
        <f>COUNTIFS('Expression of Interest'!H:H, $A37, 'Expression of Interest'!J:J, "Yes")</f>
        <v>0</v>
      </c>
      <c r="F37" s="70">
        <f>COUNTIFS('Expression of Interest'!H:H, $A37, 'Expression of Interest'!K:K, "Yes")</f>
        <v>0</v>
      </c>
      <c r="G37" s="70">
        <f>IFERROR(__xludf.DUMMYFUNCTION("COUNTA(UNIQUE(FILTER('Expression of Interest'!$M$2:$M$498, 'Expression of Interest'!$H$2:$H$498=$A37)))"),0.0)</f>
        <v>0</v>
      </c>
      <c r="H37" s="70">
        <f>COUNTIFS('Expression of Interest'!H:H, $A37, 'Expression of Interest'!F:F, "Yes")</f>
        <v>0</v>
      </c>
      <c r="K37" s="69" t="str">
        <f>IFERROR(__xludf.DUMMYFUNCTION("""COMPUTED_VALUE"""),"Ireland")</f>
        <v>Ireland</v>
      </c>
    </row>
    <row r="38">
      <c r="A38" s="73"/>
      <c r="B38" s="69" t="b">
        <f>COUNTIF(DataBase!$B$2:$B$26,A38) &gt; 0</f>
        <v>0</v>
      </c>
      <c r="C38" s="69">
        <f>COUNTIF('Expression of Interest'!$H$2:$H$498, A38)</f>
        <v>0</v>
      </c>
      <c r="D38" s="70">
        <f>COUNTIFS('Expression of Interest'!H:H, $A38, 'Expression of Interest'!G:G, "F")</f>
        <v>0</v>
      </c>
      <c r="E38" s="70">
        <f>COUNTIFS('Expression of Interest'!H:H, $A38, 'Expression of Interest'!J:J, "Yes")</f>
        <v>0</v>
      </c>
      <c r="F38" s="70">
        <f>COUNTIFS('Expression of Interest'!H:H, $A38, 'Expression of Interest'!K:K, "Yes")</f>
        <v>0</v>
      </c>
      <c r="G38" s="70">
        <f>IFERROR(__xludf.DUMMYFUNCTION("COUNTA(UNIQUE(FILTER('Expression of Interest'!$M$2:$M$498, 'Expression of Interest'!$H$2:$H$498=$A38)))"),0.0)</f>
        <v>0</v>
      </c>
      <c r="H38" s="70">
        <f>COUNTIFS('Expression of Interest'!H:H, $A38, 'Expression of Interest'!F:F, "Yes")</f>
        <v>0</v>
      </c>
      <c r="K38" s="69" t="str">
        <f>IFERROR(__xludf.DUMMYFUNCTION("""COMPUTED_VALUE"""),"Italy")</f>
        <v>Italy</v>
      </c>
    </row>
    <row r="39">
      <c r="A39" s="73"/>
      <c r="B39" s="69" t="b">
        <f>COUNTIF(DataBase!$B$2:$B$26,A39) &gt; 0</f>
        <v>0</v>
      </c>
      <c r="C39" s="69">
        <f>COUNTIF('Expression of Interest'!$H$2:$H$498, A39)</f>
        <v>0</v>
      </c>
      <c r="D39" s="70">
        <f>COUNTIFS('Expression of Interest'!H:H, $A39, 'Expression of Interest'!G:G, "F")</f>
        <v>0</v>
      </c>
      <c r="E39" s="70">
        <f>COUNTIFS('Expression of Interest'!H:H, $A39, 'Expression of Interest'!J:J, "Yes")</f>
        <v>0</v>
      </c>
      <c r="F39" s="70">
        <f>COUNTIFS('Expression of Interest'!H:H, $A39, 'Expression of Interest'!K:K, "Yes")</f>
        <v>0</v>
      </c>
      <c r="G39" s="70">
        <f>IFERROR(__xludf.DUMMYFUNCTION("COUNTA(UNIQUE(FILTER('Expression of Interest'!$M$2:$M$498, 'Expression of Interest'!$H$2:$H$498=$A39)))"),0.0)</f>
        <v>0</v>
      </c>
      <c r="H39" s="70">
        <f>COUNTIFS('Expression of Interest'!H:H, $A39, 'Expression of Interest'!F:F, "Yes")</f>
        <v>0</v>
      </c>
      <c r="K39" s="69" t="str">
        <f>IFERROR(__xludf.DUMMYFUNCTION("""COMPUTED_VALUE"""),"Latvia")</f>
        <v>Latvia</v>
      </c>
    </row>
    <row r="40">
      <c r="A40" s="73"/>
      <c r="B40" s="69" t="b">
        <f>COUNTIF(DataBase!$B$2:$B$26,A40) &gt; 0</f>
        <v>0</v>
      </c>
      <c r="C40" s="69">
        <f>COUNTIF('Expression of Interest'!$H$2:$H$498, A40)</f>
        <v>0</v>
      </c>
      <c r="D40" s="70">
        <f>COUNTIFS('Expression of Interest'!H:H, $A40, 'Expression of Interest'!G:G, "F")</f>
        <v>0</v>
      </c>
      <c r="E40" s="70">
        <f>COUNTIFS('Expression of Interest'!H:H, $A40, 'Expression of Interest'!J:J, "Yes")</f>
        <v>0</v>
      </c>
      <c r="F40" s="70">
        <f>COUNTIFS('Expression of Interest'!H:H, $A40, 'Expression of Interest'!K:K, "Yes")</f>
        <v>0</v>
      </c>
      <c r="G40" s="70">
        <f>IFERROR(__xludf.DUMMYFUNCTION("COUNTA(UNIQUE(FILTER('Expression of Interest'!$M$2:$M$498, 'Expression of Interest'!$H$2:$H$498=$A40)))"),0.0)</f>
        <v>0</v>
      </c>
      <c r="H40" s="70">
        <f>COUNTIFS('Expression of Interest'!H:H, $A40, 'Expression of Interest'!F:F, "Yes")</f>
        <v>0</v>
      </c>
      <c r="K40" s="69" t="str">
        <f>IFERROR(__xludf.DUMMYFUNCTION("""COMPUTED_VALUE"""),"Lithuania")</f>
        <v>Lithuania</v>
      </c>
    </row>
    <row r="41">
      <c r="A41" s="73"/>
      <c r="B41" s="69" t="b">
        <f>COUNTIF(DataBase!$B$2:$B$26,A41) &gt; 0</f>
        <v>0</v>
      </c>
      <c r="C41" s="69">
        <f>COUNTIF('Expression of Interest'!$H$2:$H$498, A41)</f>
        <v>0</v>
      </c>
      <c r="D41" s="70">
        <f>COUNTIFS('Expression of Interest'!H:H, $A41, 'Expression of Interest'!G:G, "F")</f>
        <v>0</v>
      </c>
      <c r="E41" s="70">
        <f>COUNTIFS('Expression of Interest'!H:H, $A41, 'Expression of Interest'!J:J, "Yes")</f>
        <v>0</v>
      </c>
      <c r="F41" s="70">
        <f>COUNTIFS('Expression of Interest'!H:H, $A41, 'Expression of Interest'!K:K, "Yes")</f>
        <v>0</v>
      </c>
      <c r="G41" s="70">
        <f>IFERROR(__xludf.DUMMYFUNCTION("COUNTA(UNIQUE(FILTER('Expression of Interest'!$M$2:$M$498, 'Expression of Interest'!$H$2:$H$498=$A41)))"),0.0)</f>
        <v>0</v>
      </c>
      <c r="H41" s="70">
        <f>COUNTIFS('Expression of Interest'!H:H, $A41, 'Expression of Interest'!F:F, "Yes")</f>
        <v>0</v>
      </c>
      <c r="K41" s="69" t="str">
        <f>IFERROR(__xludf.DUMMYFUNCTION("""COMPUTED_VALUE"""),"Luxembourg")</f>
        <v>Luxembourg</v>
      </c>
    </row>
    <row r="42">
      <c r="A42" s="73"/>
      <c r="B42" s="69" t="b">
        <f>COUNTIF(DataBase!$B$2:$B$26,A42) &gt; 0</f>
        <v>0</v>
      </c>
      <c r="C42" s="69">
        <f>COUNTIF('Expression of Interest'!$H$2:$H$498, A42)</f>
        <v>0</v>
      </c>
      <c r="D42" s="70">
        <f>COUNTIFS('Expression of Interest'!H:H, $A42, 'Expression of Interest'!G:G, "F")</f>
        <v>0</v>
      </c>
      <c r="E42" s="70">
        <f>COUNTIFS('Expression of Interest'!H:H, $A42, 'Expression of Interest'!J:J, "Yes")</f>
        <v>0</v>
      </c>
      <c r="F42" s="70">
        <f>COUNTIFS('Expression of Interest'!H:H, $A42, 'Expression of Interest'!K:K, "Yes")</f>
        <v>0</v>
      </c>
      <c r="G42" s="70">
        <f>IFERROR(__xludf.DUMMYFUNCTION("COUNTA(UNIQUE(FILTER('Expression of Interest'!$M$2:$M$498, 'Expression of Interest'!$H$2:$H$498=$A42)))"),0.0)</f>
        <v>0</v>
      </c>
      <c r="H42" s="70">
        <f>COUNTIFS('Expression of Interest'!H:H, $A42, 'Expression of Interest'!F:F, "Yes")</f>
        <v>0</v>
      </c>
      <c r="K42" s="69" t="str">
        <f>IFERROR(__xludf.DUMMYFUNCTION("""COMPUTED_VALUE"""),"Malta")</f>
        <v>Malta</v>
      </c>
    </row>
    <row r="43">
      <c r="A43" s="73"/>
      <c r="B43" s="69" t="b">
        <f>COUNTIF(DataBase!$B$2:$B$26,A43) &gt; 0</f>
        <v>0</v>
      </c>
      <c r="C43" s="69">
        <f>COUNTIF('Expression of Interest'!$H$2:$H$498, A43)</f>
        <v>0</v>
      </c>
      <c r="D43" s="70">
        <f>COUNTIFS('Expression of Interest'!H:H, $A43, 'Expression of Interest'!G:G, "F")</f>
        <v>0</v>
      </c>
      <c r="E43" s="70">
        <f>COUNTIFS('Expression of Interest'!H:H, $A43, 'Expression of Interest'!J:J, "Yes")</f>
        <v>0</v>
      </c>
      <c r="F43" s="70">
        <f>COUNTIFS('Expression of Interest'!H:H, $A43, 'Expression of Interest'!K:K, "Yes")</f>
        <v>0</v>
      </c>
      <c r="G43" s="70">
        <f>IFERROR(__xludf.DUMMYFUNCTION("COUNTA(UNIQUE(FILTER('Expression of Interest'!$M$2:$M$498, 'Expression of Interest'!$H$2:$H$498=$A43)))"),0.0)</f>
        <v>0</v>
      </c>
      <c r="H43" s="70">
        <f>COUNTIFS('Expression of Interest'!H:H, $A43, 'Expression of Interest'!F:F, "Yes")</f>
        <v>0</v>
      </c>
      <c r="K43" s="69" t="str">
        <f>IFERROR(__xludf.DUMMYFUNCTION("""COMPUTED_VALUE"""),"The Republic of Moldova")</f>
        <v>The Republic of Moldova</v>
      </c>
    </row>
    <row r="44">
      <c r="A44" s="72"/>
      <c r="B44" s="69" t="b">
        <f>COUNTIF(DataBase!$B$2:$B$26,A44) &gt; 0</f>
        <v>0</v>
      </c>
      <c r="C44" s="69">
        <f>COUNTIF('Expression of Interest'!$H$2:$H$498, A44)</f>
        <v>0</v>
      </c>
      <c r="D44" s="70">
        <f>COUNTIFS('Expression of Interest'!H:H, $A44, 'Expression of Interest'!G:G, "F")</f>
        <v>0</v>
      </c>
      <c r="E44" s="70">
        <f>COUNTIFS('Expression of Interest'!H:H, $A44, 'Expression of Interest'!J:J, "Yes")</f>
        <v>0</v>
      </c>
      <c r="F44" s="70">
        <f>COUNTIFS('Expression of Interest'!H:H, $A44, 'Expression of Interest'!K:K, "Yes")</f>
        <v>0</v>
      </c>
      <c r="G44" s="70">
        <f>IFERROR(__xludf.DUMMYFUNCTION("COUNTA(UNIQUE(FILTER('Expression of Interest'!$M$2:$M$498, 'Expression of Interest'!$H$2:$H$498=$A44)))"),0.0)</f>
        <v>0</v>
      </c>
      <c r="H44" s="70">
        <f>COUNTIFS('Expression of Interest'!H:H, $A44, 'Expression of Interest'!F:F, "Yes")</f>
        <v>0</v>
      </c>
      <c r="K44" s="69" t="str">
        <f>IFERROR(__xludf.DUMMYFUNCTION("""COMPUTED_VALUE"""),"Montenegro")</f>
        <v>Montenegro</v>
      </c>
    </row>
    <row r="45">
      <c r="A45" s="72"/>
      <c r="B45" s="69" t="b">
        <f>COUNTIF(DataBase!$B$2:$B$26,A45) &gt; 0</f>
        <v>0</v>
      </c>
      <c r="C45" s="69">
        <f>COUNTIF('Expression of Interest'!$H$2:$H$498, A45)</f>
        <v>0</v>
      </c>
      <c r="D45" s="70">
        <f>COUNTIFS('Expression of Interest'!H:H, $A45, 'Expression of Interest'!G:G, "F")</f>
        <v>0</v>
      </c>
      <c r="E45" s="70">
        <f>COUNTIFS('Expression of Interest'!H:H, $A45, 'Expression of Interest'!J:J, "Yes")</f>
        <v>0</v>
      </c>
      <c r="F45" s="70">
        <f>COUNTIFS('Expression of Interest'!H:H, $A45, 'Expression of Interest'!K:K, "Yes")</f>
        <v>0</v>
      </c>
      <c r="G45" s="70">
        <f>IFERROR(__xludf.DUMMYFUNCTION("COUNTA(UNIQUE(FILTER('Expression of Interest'!$M$2:$M$498, 'Expression of Interest'!$H$2:$H$498=$A45)))"),0.0)</f>
        <v>0</v>
      </c>
      <c r="H45" s="70">
        <f>COUNTIFS('Expression of Interest'!H:H, $A45, 'Expression of Interest'!F:F, "Yes")</f>
        <v>0</v>
      </c>
      <c r="K45" s="69" t="str">
        <f>IFERROR(__xludf.DUMMYFUNCTION("""COMPUTED_VALUE"""),"The Netherlands")</f>
        <v>The Netherlands</v>
      </c>
    </row>
    <row r="46">
      <c r="B46" s="69" t="b">
        <f>COUNTIF(DataBase!$B$2:$B$26,A46) &gt; 0</f>
        <v>0</v>
      </c>
      <c r="C46" s="69">
        <f>COUNTIF('Expression of Interest'!$H$2:$H$498, A46)</f>
        <v>0</v>
      </c>
      <c r="D46" s="70">
        <f>COUNTIFS('Expression of Interest'!H:H, $A46, 'Expression of Interest'!G:G, "F")</f>
        <v>0</v>
      </c>
      <c r="E46" s="70">
        <f>COUNTIFS('Expression of Interest'!H:H, $A46, 'Expression of Interest'!J:J, "Yes")</f>
        <v>0</v>
      </c>
      <c r="F46" s="70">
        <f>COUNTIFS('Expression of Interest'!H:H, $A46, 'Expression of Interest'!K:K, "Yes")</f>
        <v>0</v>
      </c>
      <c r="G46" s="70">
        <f>IFERROR(__xludf.DUMMYFUNCTION("COUNTA(UNIQUE(FILTER('Expression of Interest'!$M$2:$M$498, 'Expression of Interest'!$H$2:$H$498=$A46)))"),0.0)</f>
        <v>0</v>
      </c>
      <c r="H46" s="70">
        <f>COUNTIFS('Expression of Interest'!H:H, $A46, 'Expression of Interest'!F:F, "Yes")</f>
        <v>0</v>
      </c>
      <c r="K46" s="69" t="str">
        <f>IFERROR(__xludf.DUMMYFUNCTION("""COMPUTED_VALUE"""),"The Republic of North Macedonia")</f>
        <v>The Republic of North Macedonia</v>
      </c>
    </row>
    <row r="47">
      <c r="A47" s="73"/>
      <c r="B47" s="69" t="b">
        <f>COUNTIF(DataBase!$B$2:$B$26,A47) &gt; 0</f>
        <v>0</v>
      </c>
      <c r="C47" s="69">
        <f>COUNTIF('Expression of Interest'!$H$2:$H$498, A47)</f>
        <v>0</v>
      </c>
      <c r="D47" s="70">
        <f>COUNTIFS('Expression of Interest'!H:H, $A47, 'Expression of Interest'!G:G, "F")</f>
        <v>0</v>
      </c>
      <c r="E47" s="70">
        <f>COUNTIFS('Expression of Interest'!H:H, $A47, 'Expression of Interest'!J:J, "Yes")</f>
        <v>0</v>
      </c>
      <c r="F47" s="70">
        <f>COUNTIFS('Expression of Interest'!H:H, $A47, 'Expression of Interest'!K:K, "Yes")</f>
        <v>0</v>
      </c>
      <c r="G47" s="70">
        <f>IFERROR(__xludf.DUMMYFUNCTION("COUNTA(UNIQUE(FILTER('Expression of Interest'!$M$2:$M$498, 'Expression of Interest'!$H$2:$H$498=$A47)))"),0.0)</f>
        <v>0</v>
      </c>
      <c r="H47" s="70">
        <f>COUNTIFS('Expression of Interest'!H:H, $A47, 'Expression of Interest'!F:F, "Yes")</f>
        <v>0</v>
      </c>
      <c r="K47" s="69" t="str">
        <f>IFERROR(__xludf.DUMMYFUNCTION("""COMPUTED_VALUE"""),"Norway")</f>
        <v>Norway</v>
      </c>
    </row>
    <row r="48">
      <c r="A48" s="73"/>
      <c r="B48" s="69" t="b">
        <f>COUNTIF(DataBase!$B$2:$B$26,A48) &gt; 0</f>
        <v>0</v>
      </c>
      <c r="C48" s="69">
        <f>COUNTIF('Expression of Interest'!$H$2:$H$498, A48)</f>
        <v>0</v>
      </c>
      <c r="D48" s="70">
        <f>COUNTIFS('Expression of Interest'!H:H, $A48, 'Expression of Interest'!G:G, "F")</f>
        <v>0</v>
      </c>
      <c r="E48" s="70">
        <f>COUNTIFS('Expression of Interest'!H:H, $A48, 'Expression of Interest'!J:J, "Yes")</f>
        <v>0</v>
      </c>
      <c r="F48" s="70">
        <f>COUNTIFS('Expression of Interest'!H:H, $A48, 'Expression of Interest'!K:K, "Yes")</f>
        <v>0</v>
      </c>
      <c r="G48" s="70">
        <f>IFERROR(__xludf.DUMMYFUNCTION("COUNTA(UNIQUE(FILTER('Expression of Interest'!$M$2:$M$498, 'Expression of Interest'!$H$2:$H$498=$A48)))"),0.0)</f>
        <v>0</v>
      </c>
      <c r="H48" s="70">
        <f>COUNTIFS('Expression of Interest'!H:H, $A48, 'Expression of Interest'!F:F, "Yes")</f>
        <v>0</v>
      </c>
      <c r="K48" s="69" t="str">
        <f>IFERROR(__xludf.DUMMYFUNCTION("""COMPUTED_VALUE"""),"Poland")</f>
        <v>Poland</v>
      </c>
    </row>
    <row r="49">
      <c r="B49" s="74">
        <f>COUNTIF(B3:B42, TRUE)/COUNTA(B3:B42)</f>
        <v>0</v>
      </c>
      <c r="C49" s="74">
        <f>SUM(C3:C48)</f>
        <v>0</v>
      </c>
      <c r="D49" s="75" t="str">
        <f t="shared" ref="D49:F49" si="2">SUM(D3:D48)/$C$49</f>
        <v>#DIV/0!</v>
      </c>
      <c r="E49" s="75" t="str">
        <f t="shared" si="2"/>
        <v>#DIV/0!</v>
      </c>
      <c r="F49" s="75" t="str">
        <f t="shared" si="2"/>
        <v>#DIV/0!</v>
      </c>
      <c r="G49" s="76"/>
      <c r="H49" s="76">
        <f>SUM(H3:H42)</f>
        <v>0</v>
      </c>
      <c r="K49" s="69" t="str">
        <f>IFERROR(__xludf.DUMMYFUNCTION("""COMPUTED_VALUE"""),"Portugal")</f>
        <v>Portugal</v>
      </c>
    </row>
    <row r="50">
      <c r="K50" s="69" t="str">
        <f>IFERROR(__xludf.DUMMYFUNCTION("""COMPUTED_VALUE"""),"Romania")</f>
        <v>Romania</v>
      </c>
    </row>
    <row r="51">
      <c r="K51" s="69" t="str">
        <f>IFERROR(__xludf.DUMMYFUNCTION("""COMPUTED_VALUE"""),"Serbia")</f>
        <v>Serbia</v>
      </c>
    </row>
    <row r="52">
      <c r="K52" s="69" t="str">
        <f>IFERROR(__xludf.DUMMYFUNCTION("""COMPUTED_VALUE"""),"Slovenia")</f>
        <v>Slovenia</v>
      </c>
    </row>
    <row r="53">
      <c r="K53" s="69" t="str">
        <f>IFERROR(__xludf.DUMMYFUNCTION("""COMPUTED_VALUE"""),"Slovakia")</f>
        <v>Slovakia</v>
      </c>
    </row>
    <row r="54">
      <c r="K54" s="69" t="str">
        <f>IFERROR(__xludf.DUMMYFUNCTION("""COMPUTED_VALUE"""),"Spain")</f>
        <v>Spain</v>
      </c>
    </row>
    <row r="55">
      <c r="K55" s="69" t="str">
        <f>IFERROR(__xludf.DUMMYFUNCTION("""COMPUTED_VALUE"""),"Sweden")</f>
        <v>Sweden</v>
      </c>
    </row>
    <row r="56">
      <c r="K56" s="69" t="str">
        <f>IFERROR(__xludf.DUMMYFUNCTION("""COMPUTED_VALUE"""),"Switzerland")</f>
        <v>Switzerland</v>
      </c>
    </row>
    <row r="57">
      <c r="K57" s="69" t="str">
        <f>IFERROR(__xludf.DUMMYFUNCTION("""COMPUTED_VALUE"""),"Türkiye")</f>
        <v>Türkiye</v>
      </c>
    </row>
    <row r="58">
      <c r="K58" s="69" t="str">
        <f>IFERROR(__xludf.DUMMYFUNCTION("""COMPUTED_VALUE"""),"Ukraine")</f>
        <v>Ukraine</v>
      </c>
    </row>
    <row r="59">
      <c r="K59" s="69" t="str">
        <f>IFERROR(__xludf.DUMMYFUNCTION("""COMPUTED_VALUE"""),"United Kingdom")</f>
        <v>United Kingdom</v>
      </c>
    </row>
  </sheetData>
  <conditionalFormatting sqref="D3:D48">
    <cfRule type="cellIs" dxfId="1" priority="1" operator="lessThan">
      <formula>$D$1</formula>
    </cfRule>
  </conditionalFormatting>
  <conditionalFormatting sqref="M3:M13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C3:C48">
    <cfRule type="cellIs" dxfId="1" priority="3" operator="lessThan">
      <formula>$C$1</formula>
    </cfRule>
  </conditionalFormatting>
  <conditionalFormatting sqref="F3:F48">
    <cfRule type="cellIs" dxfId="1" priority="4" operator="lessThan">
      <formula>$F$1</formula>
    </cfRule>
  </conditionalFormatting>
  <conditionalFormatting sqref="E3:E48">
    <cfRule type="cellIs" dxfId="1" priority="5" operator="lessThan">
      <formula>$E$1</formula>
    </cfRule>
  </conditionalFormatting>
  <conditionalFormatting sqref="B49">
    <cfRule type="cellIs" dxfId="1" priority="6" operator="lessThan">
      <formula>0.5</formula>
    </cfRule>
  </conditionalFormatting>
  <conditionalFormatting sqref="E49">
    <cfRule type="cellIs" dxfId="1" priority="7" operator="lessThan">
      <formula>0.4</formula>
    </cfRule>
  </conditionalFormatting>
  <conditionalFormatting sqref="D49:F49">
    <cfRule type="cellIs" dxfId="1" priority="8" operator="lessThan">
      <formula>0.5</formula>
    </cfRule>
  </conditionalFormatting>
  <conditionalFormatting sqref="F49:G49">
    <cfRule type="cellIs" dxfId="1" priority="9" operator="lessThan">
      <formula>0.25</formula>
    </cfRule>
  </conditionalFormatting>
  <conditionalFormatting sqref="G3:G48">
    <cfRule type="cellIs" dxfId="1" priority="10" operator="lessThan">
      <formula>$G$1</formula>
    </cfRule>
  </conditionalFormatting>
  <conditionalFormatting sqref="A3:A48">
    <cfRule type="colorScale" priority="11">
      <colorScale>
        <cfvo type="min"/>
        <cfvo type="max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5"/>
    <col customWidth="1" min="2" max="3" width="22.13"/>
    <col customWidth="1" min="4" max="4" width="17.0"/>
    <col customWidth="1" min="5" max="5" width="16.0"/>
    <col customWidth="1" min="8" max="8" width="27.88"/>
    <col customWidth="1" min="9" max="9" width="15.5"/>
    <col customWidth="1" min="10" max="10" width="54.13"/>
    <col customWidth="1" min="13" max="13" width="52.5"/>
  </cols>
  <sheetData>
    <row r="1">
      <c r="B1" s="66" t="s">
        <v>89</v>
      </c>
      <c r="C1" s="67">
        <v>6.0</v>
      </c>
      <c r="D1" s="67">
        <v>3.0</v>
      </c>
      <c r="E1" s="67">
        <v>3.0</v>
      </c>
      <c r="F1" s="67">
        <v>2.0</v>
      </c>
      <c r="G1" s="67">
        <v>3.0</v>
      </c>
      <c r="H1" s="66"/>
      <c r="M1" s="66"/>
      <c r="N1" s="66"/>
      <c r="O1" s="66"/>
    </row>
    <row r="2">
      <c r="A2" s="68" t="s">
        <v>2</v>
      </c>
      <c r="B2" s="68" t="s">
        <v>90</v>
      </c>
      <c r="C2" s="68" t="s">
        <v>91</v>
      </c>
      <c r="D2" s="68" t="s">
        <v>92</v>
      </c>
      <c r="E2" s="68" t="s">
        <v>93</v>
      </c>
      <c r="F2" s="68" t="s">
        <v>94</v>
      </c>
      <c r="G2" s="68" t="s">
        <v>95</v>
      </c>
      <c r="H2" s="68" t="s">
        <v>96</v>
      </c>
      <c r="I2" s="67" t="s">
        <v>102</v>
      </c>
      <c r="J2" s="67" t="s">
        <v>97</v>
      </c>
      <c r="K2" s="67"/>
      <c r="L2" s="67"/>
      <c r="M2" s="66" t="s">
        <v>98</v>
      </c>
      <c r="N2" s="66" t="s">
        <v>99</v>
      </c>
      <c r="O2" s="66" t="s">
        <v>100</v>
      </c>
    </row>
    <row r="3">
      <c r="A3" s="69" t="s">
        <v>73</v>
      </c>
      <c r="B3" s="69" t="b">
        <f>COUNTIF(DataBase!$B$2:$B$26,A3) &gt; 0</f>
        <v>0</v>
      </c>
      <c r="C3" s="69">
        <f>COUNTIFS('Expression of Interest'!H:H, A3, 'Expression of Interest'!AA:AA, "Yes")</f>
        <v>0</v>
      </c>
      <c r="D3" s="70">
        <f>COUNTIFS('Expression of Interest'!H:H, $A3, 'Expression of Interest'!G:G, "F", 'Expression of Interest'!AA:AA, "Yes")</f>
        <v>0</v>
      </c>
      <c r="E3" s="70">
        <f>COUNTIFS('Expression of Interest'!H:H, $A3, 'Expression of Interest'!J:J, "Yes", 'Expression of Interest'!AA:AA, "Yes")</f>
        <v>0</v>
      </c>
      <c r="F3" s="70">
        <f>COUNTIFS('Expression of Interest'!H:H, $A3, 'Expression of Interest'!K:K, "Yes", 'Expression of Interest'!AA:AA, "Yes")</f>
        <v>0</v>
      </c>
      <c r="G3" s="70">
        <f>IFERROR(__xludf.DUMMYFUNCTION("COUNTA(UNIQUE(FILTER('Expression of Interest'!M:M, 'Expression of Interest'!H:H=$A3, 'Expression of Interest'!AA:AA=""Yes"")))"),1.0)</f>
        <v>1</v>
      </c>
      <c r="H3" s="70">
        <f>COUNTIFS('Expression of Interest'!H:H, $A3, 'Expression of Interest'!F:F, "Yes")</f>
        <v>0</v>
      </c>
      <c r="I3" s="77"/>
      <c r="J3" s="67" t="s">
        <v>103</v>
      </c>
      <c r="K3" s="78" t="s">
        <v>104</v>
      </c>
      <c r="M3" s="69" t="str">
        <f>IFERROR(__xludf.DUMMYFUNCTION("UNIQUE(FILTER('Expression of Interest'!M3:M498, 'Expression of Interest'!M3:M498&lt;&gt;""""))"),"#N/A")</f>
        <v>#N/A</v>
      </c>
      <c r="N3" s="69">
        <f>COUNTIFS('Expression of Interest'!M:M, $M3)</f>
        <v>0</v>
      </c>
      <c r="O3" s="71" t="str">
        <f t="shared" ref="O3:O13" si="1">N3/$N$14</f>
        <v>#DIV/0!</v>
      </c>
    </row>
    <row r="4">
      <c r="A4" s="69" t="s">
        <v>65</v>
      </c>
      <c r="B4" s="69" t="b">
        <f>COUNTIF(DataBase!$B$2:$B$26,A4) &gt; 0</f>
        <v>1</v>
      </c>
      <c r="C4" s="69">
        <f>COUNTIFS('Expression of Interest'!H:H, A4, 'Expression of Interest'!AA:AA, "Yes")</f>
        <v>0</v>
      </c>
      <c r="D4" s="70">
        <f>COUNTIFS('Expression of Interest'!H:H, $A4, 'Expression of Interest'!G:G, "F", 'Expression of Interest'!AA:AA, "Yes")</f>
        <v>0</v>
      </c>
      <c r="E4" s="70">
        <f>COUNTIFS('Expression of Interest'!H:H, $A4, 'Expression of Interest'!J:J, "Yes", 'Expression of Interest'!AA:AA, "Yes")</f>
        <v>0</v>
      </c>
      <c r="F4" s="70">
        <f>COUNTIFS('Expression of Interest'!H:H, $A4, 'Expression of Interest'!K:K, "Yes", 'Expression of Interest'!AA:AA, "Yes")</f>
        <v>0</v>
      </c>
      <c r="G4" s="70">
        <f>IFERROR(__xludf.DUMMYFUNCTION("COUNTA(UNIQUE(FILTER('Expression of Interest'!M:M, 'Expression of Interest'!H:H=$A4, 'Expression of Interest'!AA:AA=""Yes"")))"),1.0)</f>
        <v>1</v>
      </c>
      <c r="H4" s="70">
        <f>COUNTIFS('Expression of Interest'!H:H, $A4, 'Expression of Interest'!F:F, "Yes")</f>
        <v>0</v>
      </c>
      <c r="I4" s="77"/>
      <c r="J4" s="67" t="s">
        <v>105</v>
      </c>
      <c r="K4" s="79" t="s">
        <v>106</v>
      </c>
      <c r="L4" s="67"/>
      <c r="N4" s="69">
        <f>COUNTIFS('Expression of Interest'!M:M, $M4)</f>
        <v>0</v>
      </c>
      <c r="O4" s="71" t="str">
        <f t="shared" si="1"/>
        <v>#DIV/0!</v>
      </c>
    </row>
    <row r="5">
      <c r="A5" s="69" t="s">
        <v>72</v>
      </c>
      <c r="B5" s="69" t="b">
        <f>COUNTIF(DataBase!$B$2:$B$26,A5) &gt; 0</f>
        <v>1</v>
      </c>
      <c r="C5" s="69">
        <f>COUNTIFS('Expression of Interest'!H:H, A5, 'Expression of Interest'!AA:AA, "Yes")</f>
        <v>0</v>
      </c>
      <c r="D5" s="70">
        <f>COUNTIFS('Expression of Interest'!H:H, $A5, 'Expression of Interest'!G:G, "F", 'Expression of Interest'!AA:AA, "Yes")</f>
        <v>0</v>
      </c>
      <c r="E5" s="70">
        <f>COUNTIFS('Expression of Interest'!H:H, $A5, 'Expression of Interest'!J:J, "Yes", 'Expression of Interest'!AA:AA, "Yes")</f>
        <v>0</v>
      </c>
      <c r="F5" s="70">
        <f>COUNTIFS('Expression of Interest'!H:H, $A5, 'Expression of Interest'!K:K, "Yes", 'Expression of Interest'!AA:AA, "Yes")</f>
        <v>0</v>
      </c>
      <c r="G5" s="70">
        <f>IFERROR(__xludf.DUMMYFUNCTION("COUNTA(UNIQUE(FILTER('Expression of Interest'!M:M, 'Expression of Interest'!H:H=$A5, 'Expression of Interest'!AA:AA=""Yes"")))"),1.0)</f>
        <v>1</v>
      </c>
      <c r="H5" s="70">
        <f>COUNTIFS('Expression of Interest'!H:H, $A5, 'Expression of Interest'!F:F, "Yes")</f>
        <v>0</v>
      </c>
      <c r="I5" s="77"/>
      <c r="K5" s="80" t="s">
        <v>107</v>
      </c>
      <c r="N5" s="69">
        <f>COUNTIFS('Expression of Interest'!M:M, $M5)</f>
        <v>0</v>
      </c>
      <c r="O5" s="71" t="str">
        <f t="shared" si="1"/>
        <v>#DIV/0!</v>
      </c>
    </row>
    <row r="6">
      <c r="A6" s="69" t="s">
        <v>81</v>
      </c>
      <c r="B6" s="69" t="b">
        <f>COUNTIF(DataBase!$B$2:$B$26,A6) &gt; 0</f>
        <v>1</v>
      </c>
      <c r="C6" s="69">
        <f>COUNTIFS('Expression of Interest'!H:H, A6, 'Expression of Interest'!AA:AA, "Yes")</f>
        <v>0</v>
      </c>
      <c r="D6" s="70">
        <f>COUNTIFS('Expression of Interest'!H:H, $A6, 'Expression of Interest'!G:G, "F", 'Expression of Interest'!AA:AA, "Yes")</f>
        <v>0</v>
      </c>
      <c r="E6" s="70">
        <f>COUNTIFS('Expression of Interest'!H:H, $A6, 'Expression of Interest'!J:J, "Yes", 'Expression of Interest'!AA:AA, "Yes")</f>
        <v>0</v>
      </c>
      <c r="F6" s="70">
        <f>COUNTIFS('Expression of Interest'!H:H, $A6, 'Expression of Interest'!K:K, "Yes", 'Expression of Interest'!AA:AA, "Yes")</f>
        <v>0</v>
      </c>
      <c r="G6" s="70">
        <f>IFERROR(__xludf.DUMMYFUNCTION("COUNTA(UNIQUE(FILTER('Expression of Interest'!M:M, 'Expression of Interest'!H:H=$A6, 'Expression of Interest'!AA:AA=""Yes"")))"),1.0)</f>
        <v>1</v>
      </c>
      <c r="H6" s="70">
        <f>COUNTIFS('Expression of Interest'!H:H, $A6, 'Expression of Interest'!F:F, "Yes")</f>
        <v>0</v>
      </c>
      <c r="I6" s="81"/>
      <c r="N6" s="69">
        <f>COUNTIFS('Expression of Interest'!M:M, $M6)</f>
        <v>0</v>
      </c>
      <c r="O6" s="71" t="str">
        <f t="shared" si="1"/>
        <v>#DIV/0!</v>
      </c>
    </row>
    <row r="7">
      <c r="A7" s="69" t="s">
        <v>77</v>
      </c>
      <c r="B7" s="69" t="b">
        <f>COUNTIF(DataBase!$B$2:$B$26,A7) &gt; 0</f>
        <v>1</v>
      </c>
      <c r="C7" s="69">
        <f>COUNTIFS('Expression of Interest'!H:H, A7, 'Expression of Interest'!AA:AA, "Yes")</f>
        <v>0</v>
      </c>
      <c r="D7" s="70">
        <f>COUNTIFS('Expression of Interest'!H:H, $A7, 'Expression of Interest'!G:G, "F", 'Expression of Interest'!AA:AA, "Yes")</f>
        <v>0</v>
      </c>
      <c r="E7" s="70">
        <f>COUNTIFS('Expression of Interest'!H:H, $A7, 'Expression of Interest'!J:J, "Yes", 'Expression of Interest'!AA:AA, "Yes")</f>
        <v>0</v>
      </c>
      <c r="F7" s="70">
        <f>COUNTIFS('Expression of Interest'!H:H, $A7, 'Expression of Interest'!K:K, "Yes", 'Expression of Interest'!AA:AA, "Yes")</f>
        <v>0</v>
      </c>
      <c r="G7" s="70">
        <f>IFERROR(__xludf.DUMMYFUNCTION("COUNTA(UNIQUE(FILTER('Expression of Interest'!M:M, 'Expression of Interest'!H:H=$A7, 'Expression of Interest'!AA:AA=""Yes"")))"),1.0)</f>
        <v>1</v>
      </c>
      <c r="H7" s="70">
        <f>COUNTIFS('Expression of Interest'!H:H, $A7, 'Expression of Interest'!F:F, "Yes")</f>
        <v>0</v>
      </c>
      <c r="I7" s="81"/>
      <c r="N7" s="69">
        <f>COUNTIFS('Expression of Interest'!M:M, $M7)</f>
        <v>0</v>
      </c>
      <c r="O7" s="71" t="str">
        <f t="shared" si="1"/>
        <v>#DIV/0!</v>
      </c>
    </row>
    <row r="8">
      <c r="A8" s="69" t="s">
        <v>75</v>
      </c>
      <c r="B8" s="69" t="b">
        <f>COUNTIF(DataBase!$B$2:$B$26,A8) &gt; 0</f>
        <v>0</v>
      </c>
      <c r="C8" s="69">
        <f>COUNTIFS('Expression of Interest'!H:H, A8, 'Expression of Interest'!AA:AA, "Yes")</f>
        <v>0</v>
      </c>
      <c r="D8" s="70">
        <f>COUNTIFS('Expression of Interest'!H:H, $A8, 'Expression of Interest'!G:G, "F", 'Expression of Interest'!AA:AA, "Yes")</f>
        <v>0</v>
      </c>
      <c r="E8" s="70">
        <f>COUNTIFS('Expression of Interest'!H:H, $A8, 'Expression of Interest'!J:J, "Yes", 'Expression of Interest'!AA:AA, "Yes")</f>
        <v>0</v>
      </c>
      <c r="F8" s="70">
        <f>COUNTIFS('Expression of Interest'!H:H, $A8, 'Expression of Interest'!K:K, "Yes", 'Expression of Interest'!AA:AA, "Yes")</f>
        <v>0</v>
      </c>
      <c r="G8" s="70">
        <f>IFERROR(__xludf.DUMMYFUNCTION("COUNTA(UNIQUE(FILTER('Expression of Interest'!M:M, 'Expression of Interest'!H:H=$A8, 'Expression of Interest'!AA:AA=""Yes"")))"),1.0)</f>
        <v>1</v>
      </c>
      <c r="H8" s="70">
        <f>COUNTIFS('Expression of Interest'!H:H, $A8, 'Expression of Interest'!F:F, "Yes")</f>
        <v>0</v>
      </c>
      <c r="I8" s="77"/>
      <c r="K8" s="67"/>
      <c r="L8" s="67"/>
      <c r="N8" s="69">
        <f>COUNTIFS('Expression of Interest'!M:M, $M8)</f>
        <v>0</v>
      </c>
      <c r="O8" s="71" t="str">
        <f t="shared" si="1"/>
        <v>#DIV/0!</v>
      </c>
    </row>
    <row r="9">
      <c r="A9" s="69" t="s">
        <v>85</v>
      </c>
      <c r="B9" s="69" t="b">
        <f>COUNTIF(DataBase!$B$2:$B$26,A9) &gt; 0</f>
        <v>0</v>
      </c>
      <c r="C9" s="69">
        <f>COUNTIFS('Expression of Interest'!H:H, A9, 'Expression of Interest'!AA:AA, "Yes")</f>
        <v>0</v>
      </c>
      <c r="D9" s="70">
        <f>COUNTIFS('Expression of Interest'!H:H, $A9, 'Expression of Interest'!G:G, "F", 'Expression of Interest'!AA:AA, "Yes")</f>
        <v>0</v>
      </c>
      <c r="E9" s="70">
        <f>COUNTIFS('Expression of Interest'!H:H, $A9, 'Expression of Interest'!J:J, "Yes", 'Expression of Interest'!AA:AA, "Yes")</f>
        <v>0</v>
      </c>
      <c r="F9" s="70">
        <f>COUNTIFS('Expression of Interest'!H:H, $A9, 'Expression of Interest'!K:K, "Yes", 'Expression of Interest'!AA:AA, "Yes")</f>
        <v>0</v>
      </c>
      <c r="G9" s="70">
        <f>IFERROR(__xludf.DUMMYFUNCTION("COUNTA(UNIQUE(FILTER('Expression of Interest'!M:M, 'Expression of Interest'!H:H=$A9, 'Expression of Interest'!AA:AA=""Yes"")))"),1.0)</f>
        <v>1</v>
      </c>
      <c r="H9" s="70">
        <f>COUNTIFS('Expression of Interest'!H:H, $A9, 'Expression of Interest'!F:F, "Yes")</f>
        <v>0</v>
      </c>
      <c r="I9" s="77"/>
      <c r="J9" s="67" t="s">
        <v>108</v>
      </c>
      <c r="K9" s="67"/>
      <c r="L9" s="67"/>
      <c r="N9" s="69">
        <f>COUNTIFS('Expression of Interest'!M:M, $M9)</f>
        <v>0</v>
      </c>
      <c r="O9" s="71" t="str">
        <f t="shared" si="1"/>
        <v>#DIV/0!</v>
      </c>
    </row>
    <row r="10">
      <c r="A10" s="69" t="s">
        <v>60</v>
      </c>
      <c r="B10" s="69" t="b">
        <f>COUNTIF(DataBase!$B$2:$B$26,A10) &gt; 0</f>
        <v>1</v>
      </c>
      <c r="C10" s="69">
        <f>COUNTIFS('Expression of Interest'!H:H, A10, 'Expression of Interest'!AA:AA, "Yes")</f>
        <v>0</v>
      </c>
      <c r="D10" s="70">
        <f>COUNTIFS('Expression of Interest'!H:H, $A10, 'Expression of Interest'!G:G, "F", 'Expression of Interest'!AA:AA, "Yes")</f>
        <v>0</v>
      </c>
      <c r="E10" s="70">
        <f>COUNTIFS('Expression of Interest'!H:H, $A10, 'Expression of Interest'!J:J, "Yes", 'Expression of Interest'!AA:AA, "Yes")</f>
        <v>0</v>
      </c>
      <c r="F10" s="70">
        <f>COUNTIFS('Expression of Interest'!H:H, $A10, 'Expression of Interest'!K:K, "Yes", 'Expression of Interest'!AA:AA, "Yes")</f>
        <v>0</v>
      </c>
      <c r="G10" s="70">
        <f>IFERROR(__xludf.DUMMYFUNCTION("COUNTA(UNIQUE(FILTER('Expression of Interest'!M:M, 'Expression of Interest'!H:H=$A10, 'Expression of Interest'!AA:AA=""Yes"")))"),1.0)</f>
        <v>1</v>
      </c>
      <c r="H10" s="70">
        <f>COUNTIFS('Expression of Interest'!H:H, $A10, 'Expression of Interest'!F:F, "Yes")</f>
        <v>0</v>
      </c>
      <c r="I10" s="77"/>
      <c r="J10" s="67" t="s">
        <v>109</v>
      </c>
      <c r="K10" s="67"/>
      <c r="L10" s="67"/>
      <c r="N10" s="69">
        <f>COUNTIFS('Expression of Interest'!M:M, $M10)</f>
        <v>0</v>
      </c>
      <c r="O10" s="71" t="str">
        <f t="shared" si="1"/>
        <v>#DIV/0!</v>
      </c>
    </row>
    <row r="11">
      <c r="A11" s="69" t="s">
        <v>88</v>
      </c>
      <c r="B11" s="69" t="b">
        <f>COUNTIF(DataBase!$B$2:$B$26,A11) &gt; 0</f>
        <v>0</v>
      </c>
      <c r="C11" s="69">
        <f>COUNTIFS('Expression of Interest'!H:H, A11, 'Expression of Interest'!AA:AA, "Yes")</f>
        <v>0</v>
      </c>
      <c r="D11" s="70">
        <f>COUNTIFS('Expression of Interest'!H:H, $A11, 'Expression of Interest'!G:G, "F", 'Expression of Interest'!AA:AA, "Yes")</f>
        <v>0</v>
      </c>
      <c r="E11" s="70">
        <f>COUNTIFS('Expression of Interest'!H:H, $A11, 'Expression of Interest'!J:J, "Yes", 'Expression of Interest'!AA:AA, "Yes")</f>
        <v>0</v>
      </c>
      <c r="F11" s="70">
        <f>COUNTIFS('Expression of Interest'!H:H, $A11, 'Expression of Interest'!K:K, "Yes", 'Expression of Interest'!AA:AA, "Yes")</f>
        <v>0</v>
      </c>
      <c r="G11" s="70">
        <f>IFERROR(__xludf.DUMMYFUNCTION("COUNTA(UNIQUE(FILTER('Expression of Interest'!M:M, 'Expression of Interest'!H:H=$A11, 'Expression of Interest'!AA:AA=""Yes"")))"),1.0)</f>
        <v>1</v>
      </c>
      <c r="H11" s="70">
        <f>COUNTIFS('Expression of Interest'!H:H, $A11, 'Expression of Interest'!F:F, "Yes")</f>
        <v>0</v>
      </c>
      <c r="I11" s="77">
        <v>45573.0</v>
      </c>
      <c r="J11" s="67" t="s">
        <v>110</v>
      </c>
      <c r="K11" s="67"/>
      <c r="L11" s="67"/>
      <c r="N11" s="69">
        <f>COUNTIFS('Expression of Interest'!M:M, $M11)</f>
        <v>0</v>
      </c>
      <c r="O11" s="71" t="str">
        <f t="shared" si="1"/>
        <v>#DIV/0!</v>
      </c>
    </row>
    <row r="12">
      <c r="A12" s="69" t="s">
        <v>78</v>
      </c>
      <c r="B12" s="69" t="b">
        <f>COUNTIF(DataBase!$B$2:$B$26,A12) &gt; 0</f>
        <v>1</v>
      </c>
      <c r="C12" s="69">
        <f>COUNTIFS('Expression of Interest'!H:H, A12, 'Expression of Interest'!AA:AA, "Yes")</f>
        <v>0</v>
      </c>
      <c r="D12" s="70">
        <f>COUNTIFS('Expression of Interest'!H:H, $A12, 'Expression of Interest'!G:G, "F", 'Expression of Interest'!AA:AA, "Yes")</f>
        <v>0</v>
      </c>
      <c r="E12" s="70">
        <f>COUNTIFS('Expression of Interest'!H:H, $A12, 'Expression of Interest'!J:J, "Yes", 'Expression of Interest'!AA:AA, "Yes")</f>
        <v>0</v>
      </c>
      <c r="F12" s="70">
        <f>COUNTIFS('Expression of Interest'!H:H, $A12, 'Expression of Interest'!K:K, "Yes", 'Expression of Interest'!AA:AA, "Yes")</f>
        <v>0</v>
      </c>
      <c r="G12" s="70">
        <f>IFERROR(__xludf.DUMMYFUNCTION("COUNTA(UNIQUE(FILTER('Expression of Interest'!M:M, 'Expression of Interest'!H:H=$A12, 'Expression of Interest'!AA:AA=""Yes"")))"),1.0)</f>
        <v>1</v>
      </c>
      <c r="H12" s="70">
        <f>COUNTIFS('Expression of Interest'!H:H, $A12, 'Expression of Interest'!F:F, "Yes")</f>
        <v>0</v>
      </c>
      <c r="I12" s="77"/>
      <c r="J12" s="67" t="s">
        <v>111</v>
      </c>
      <c r="K12" s="67"/>
      <c r="L12" s="67"/>
      <c r="N12" s="69">
        <f>COUNTIFS('Expression of Interest'!M:M, $M12)</f>
        <v>0</v>
      </c>
      <c r="O12" s="71" t="str">
        <f t="shared" si="1"/>
        <v>#DIV/0!</v>
      </c>
    </row>
    <row r="13">
      <c r="A13" s="69" t="s">
        <v>53</v>
      </c>
      <c r="B13" s="69" t="b">
        <f>COUNTIF(DataBase!$B$2:$B$26,A13) &gt; 0</f>
        <v>1</v>
      </c>
      <c r="C13" s="69">
        <f>COUNTIFS('Expression of Interest'!H:H, A13, 'Expression of Interest'!AA:AA, "Yes")</f>
        <v>0</v>
      </c>
      <c r="D13" s="70">
        <f>COUNTIFS('Expression of Interest'!H:H, $A13, 'Expression of Interest'!G:G, "F", 'Expression of Interest'!AA:AA, "Yes")</f>
        <v>0</v>
      </c>
      <c r="E13" s="70">
        <f>COUNTIFS('Expression of Interest'!H:H, $A13, 'Expression of Interest'!J:J, "Yes", 'Expression of Interest'!AA:AA, "Yes")</f>
        <v>0</v>
      </c>
      <c r="F13" s="70">
        <f>COUNTIFS('Expression of Interest'!H:H, $A13, 'Expression of Interest'!K:K, "Yes", 'Expression of Interest'!AA:AA, "Yes")</f>
        <v>0</v>
      </c>
      <c r="G13" s="70">
        <f>IFERROR(__xludf.DUMMYFUNCTION("COUNTA(UNIQUE(FILTER('Expression of Interest'!M:M, 'Expression of Interest'!H:H=$A13, 'Expression of Interest'!AA:AA=""Yes"")))"),1.0)</f>
        <v>1</v>
      </c>
      <c r="H13" s="70">
        <f>COUNTIFS('Expression of Interest'!H:H, $A13, 'Expression of Interest'!F:F, "Yes")</f>
        <v>0</v>
      </c>
      <c r="I13" s="77"/>
      <c r="J13" s="67" t="s">
        <v>112</v>
      </c>
      <c r="N13" s="69">
        <f>COUNTIFS('Expression of Interest'!M:M, $M13)</f>
        <v>0</v>
      </c>
      <c r="O13" s="71" t="str">
        <f t="shared" si="1"/>
        <v>#DIV/0!</v>
      </c>
    </row>
    <row r="14">
      <c r="A14" s="69" t="s">
        <v>113</v>
      </c>
      <c r="B14" s="69" t="b">
        <f>COUNTIF(DataBase!$B$2:$B$26,A14) &gt; 0</f>
        <v>0</v>
      </c>
      <c r="C14" s="69">
        <f>COUNTIFS('Expression of Interest'!H:H, A14, 'Expression of Interest'!AA:AA, "Yes")</f>
        <v>0</v>
      </c>
      <c r="D14" s="70">
        <f>COUNTIFS('Expression of Interest'!H:H, $A14, 'Expression of Interest'!G:G, "F", 'Expression of Interest'!AA:AA, "Yes")</f>
        <v>0</v>
      </c>
      <c r="E14" s="70">
        <f>COUNTIFS('Expression of Interest'!H:H, $A14, 'Expression of Interest'!J:J, "Yes", 'Expression of Interest'!AA:AA, "Yes")</f>
        <v>0</v>
      </c>
      <c r="F14" s="70">
        <f>COUNTIFS('Expression of Interest'!H:H, $A14, 'Expression of Interest'!K:K, "Yes", 'Expression of Interest'!AA:AA, "Yes")</f>
        <v>0</v>
      </c>
      <c r="G14" s="70">
        <f>IFERROR(__xludf.DUMMYFUNCTION("COUNTA(UNIQUE(FILTER('Expression of Interest'!M:M, 'Expression of Interest'!H:H=$A14, 'Expression of Interest'!AA:AA=""Yes"")))"),1.0)</f>
        <v>1</v>
      </c>
      <c r="H14" s="70">
        <f>COUNTIFS('Expression of Interest'!H:H, $A14, 'Expression of Interest'!F:F, "Yes")</f>
        <v>0</v>
      </c>
      <c r="I14" s="81"/>
      <c r="N14" s="69">
        <f>SUM(N3:N13)</f>
        <v>0</v>
      </c>
    </row>
    <row r="15">
      <c r="A15" s="69" t="s">
        <v>47</v>
      </c>
      <c r="B15" s="69" t="b">
        <f>COUNTIF(DataBase!$B$2:$B$26,A15) &gt; 0</f>
        <v>1</v>
      </c>
      <c r="C15" s="69">
        <f>COUNTIFS('Expression of Interest'!H:H, A15, 'Expression of Interest'!AA:AA, "Yes")</f>
        <v>0</v>
      </c>
      <c r="D15" s="70">
        <f>COUNTIFS('Expression of Interest'!H:H, $A15, 'Expression of Interest'!G:G, "F", 'Expression of Interest'!AA:AA, "Yes")</f>
        <v>0</v>
      </c>
      <c r="E15" s="70">
        <f>COUNTIFS('Expression of Interest'!H:H, $A15, 'Expression of Interest'!J:J, "Yes", 'Expression of Interest'!AA:AA, "Yes")</f>
        <v>0</v>
      </c>
      <c r="F15" s="70">
        <f>COUNTIFS('Expression of Interest'!H:H, $A15, 'Expression of Interest'!K:K, "Yes", 'Expression of Interest'!AA:AA, "Yes")</f>
        <v>0</v>
      </c>
      <c r="G15" s="70">
        <f>IFERROR(__xludf.DUMMYFUNCTION("COUNTA(UNIQUE(FILTER('Expression of Interest'!M:M, 'Expression of Interest'!H:H=$A15, 'Expression of Interest'!AA:AA=""Yes"")))"),1.0)</f>
        <v>1</v>
      </c>
      <c r="H15" s="70">
        <f>COUNTIFS('Expression of Interest'!H:H, $A15, 'Expression of Interest'!F:F, "Yes")</f>
        <v>0</v>
      </c>
      <c r="I15" s="81"/>
    </row>
    <row r="16">
      <c r="A16" s="69" t="s">
        <v>61</v>
      </c>
      <c r="B16" s="69" t="b">
        <f>COUNTIF(DataBase!$B$2:$B$26,A16) &gt; 0</f>
        <v>1</v>
      </c>
      <c r="C16" s="69">
        <f>COUNTIFS('Expression of Interest'!H:H, A16, 'Expression of Interest'!AA:AA, "Yes")</f>
        <v>0</v>
      </c>
      <c r="D16" s="70">
        <f>COUNTIFS('Expression of Interest'!H:H, $A16, 'Expression of Interest'!G:G, "F", 'Expression of Interest'!AA:AA, "Yes")</f>
        <v>0</v>
      </c>
      <c r="E16" s="70">
        <f>COUNTIFS('Expression of Interest'!H:H, $A16, 'Expression of Interest'!J:J, "Yes", 'Expression of Interest'!AA:AA, "Yes")</f>
        <v>0</v>
      </c>
      <c r="F16" s="70">
        <f>COUNTIFS('Expression of Interest'!H:H, $A16, 'Expression of Interest'!K:K, "Yes", 'Expression of Interest'!AA:AA, "Yes")</f>
        <v>0</v>
      </c>
      <c r="G16" s="70">
        <f>IFERROR(__xludf.DUMMYFUNCTION("COUNTA(UNIQUE(FILTER('Expression of Interest'!M:M, 'Expression of Interest'!H:H=$A16, 'Expression of Interest'!AA:AA=""Yes"")))"),1.0)</f>
        <v>1</v>
      </c>
      <c r="H16" s="70">
        <f>COUNTIFS('Expression of Interest'!H:H, $A16, 'Expression of Interest'!F:F, "Yes")</f>
        <v>0</v>
      </c>
      <c r="I16" s="77"/>
      <c r="J16" s="67" t="s">
        <v>114</v>
      </c>
      <c r="K16" s="67"/>
      <c r="L16" s="67"/>
    </row>
    <row r="17">
      <c r="A17" s="69" t="s">
        <v>80</v>
      </c>
      <c r="B17" s="69" t="b">
        <f>COUNTIF(DataBase!$B$2:$B$26,A17) &gt; 0</f>
        <v>1</v>
      </c>
      <c r="C17" s="69">
        <f>COUNTIFS('Expression of Interest'!H:H, A17, 'Expression of Interest'!AA:AA, "Yes")</f>
        <v>0</v>
      </c>
      <c r="D17" s="70">
        <f>COUNTIFS('Expression of Interest'!H:H, $A17, 'Expression of Interest'!G:G, "F", 'Expression of Interest'!AA:AA, "Yes")</f>
        <v>0</v>
      </c>
      <c r="E17" s="70">
        <f>COUNTIFS('Expression of Interest'!H:H, $A17, 'Expression of Interest'!J:J, "Yes", 'Expression of Interest'!AA:AA, "Yes")</f>
        <v>0</v>
      </c>
      <c r="F17" s="70">
        <f>COUNTIFS('Expression of Interest'!H:H, $A17, 'Expression of Interest'!K:K, "Yes", 'Expression of Interest'!AA:AA, "Yes")</f>
        <v>0</v>
      </c>
      <c r="G17" s="70">
        <f>IFERROR(__xludf.DUMMYFUNCTION("COUNTA(UNIQUE(FILTER('Expression of Interest'!M:M, 'Expression of Interest'!H:H=$A17, 'Expression of Interest'!AA:AA=""Yes"")))"),1.0)</f>
        <v>1</v>
      </c>
      <c r="H17" s="70">
        <f>COUNTIFS('Expression of Interest'!H:H, $A17, 'Expression of Interest'!F:F, "Yes")</f>
        <v>0</v>
      </c>
      <c r="I17" s="81"/>
    </row>
    <row r="18">
      <c r="A18" s="69" t="s">
        <v>70</v>
      </c>
      <c r="B18" s="69" t="b">
        <f>COUNTIF(DataBase!$B$2:$B$26,A18) &gt; 0</f>
        <v>1</v>
      </c>
      <c r="C18" s="69">
        <f>COUNTIFS('Expression of Interest'!H:H, A18, 'Expression of Interest'!AA:AA, "Yes")</f>
        <v>0</v>
      </c>
      <c r="D18" s="70">
        <f>COUNTIFS('Expression of Interest'!H:H, $A18, 'Expression of Interest'!G:G, "F", 'Expression of Interest'!AA:AA, "Yes")</f>
        <v>0</v>
      </c>
      <c r="E18" s="70">
        <f>COUNTIFS('Expression of Interest'!H:H, $A18, 'Expression of Interest'!J:J, "Yes", 'Expression of Interest'!AA:AA, "Yes")</f>
        <v>0</v>
      </c>
      <c r="F18" s="70">
        <f>COUNTIFS('Expression of Interest'!H:H, $A18, 'Expression of Interest'!K:K, "Yes", 'Expression of Interest'!AA:AA, "Yes")</f>
        <v>0</v>
      </c>
      <c r="G18" s="70">
        <f>IFERROR(__xludf.DUMMYFUNCTION("COUNTA(UNIQUE(FILTER('Expression of Interest'!M:M, 'Expression of Interest'!H:H=$A18, 'Expression of Interest'!AA:AA=""Yes"")))"),1.0)</f>
        <v>1</v>
      </c>
      <c r="H18" s="70">
        <f>COUNTIFS('Expression of Interest'!H:H, $A18, 'Expression of Interest'!F:F, "Yes")</f>
        <v>0</v>
      </c>
      <c r="I18" s="81"/>
      <c r="M18" s="66" t="s">
        <v>101</v>
      </c>
    </row>
    <row r="19">
      <c r="A19" s="69" t="s">
        <v>74</v>
      </c>
      <c r="B19" s="69" t="b">
        <f>COUNTIF(DataBase!$B$2:$B$26,A19) &gt; 0</f>
        <v>1</v>
      </c>
      <c r="C19" s="69">
        <f>COUNTIFS('Expression of Interest'!H:H, A19, 'Expression of Interest'!AA:AA, "Yes")</f>
        <v>0</v>
      </c>
      <c r="D19" s="70">
        <f>COUNTIFS('Expression of Interest'!H:H, $A19, 'Expression of Interest'!G:G, "F", 'Expression of Interest'!AA:AA, "Yes")</f>
        <v>0</v>
      </c>
      <c r="E19" s="70">
        <f>COUNTIFS('Expression of Interest'!H:H, $A19, 'Expression of Interest'!J:J, "Yes", 'Expression of Interest'!AA:AA, "Yes")</f>
        <v>0</v>
      </c>
      <c r="F19" s="70">
        <f>COUNTIFS('Expression of Interest'!H:H, $A19, 'Expression of Interest'!K:K, "Yes", 'Expression of Interest'!AA:AA, "Yes")</f>
        <v>0</v>
      </c>
      <c r="G19" s="70">
        <f>IFERROR(__xludf.DUMMYFUNCTION("COUNTA(UNIQUE(FILTER('Expression of Interest'!M:M, 'Expression of Interest'!H:H=$A19, 'Expression of Interest'!AA:AA=""Yes"")))"),1.0)</f>
        <v>1</v>
      </c>
      <c r="H19" s="70">
        <f>COUNTIFS('Expression of Interest'!H:H, $A19, 'Expression of Interest'!F:F, "Yes")</f>
        <v>0</v>
      </c>
      <c r="I19" s="77"/>
      <c r="J19" s="67" t="s">
        <v>111</v>
      </c>
      <c r="K19" s="67"/>
      <c r="L19" s="67"/>
      <c r="M19" s="69" t="str">
        <f>IFERROR(__xludf.DUMMYFUNCTION("FILTER(DataBase!A2:A42, ISNA(MATCH(DataBase!A2:A42, A3:A45, 0)))
"),"Armenia")</f>
        <v>Armenia</v>
      </c>
      <c r="N19" s="67" t="s">
        <v>115</v>
      </c>
    </row>
    <row r="20">
      <c r="A20" s="69" t="s">
        <v>63</v>
      </c>
      <c r="B20" s="69" t="b">
        <f>COUNTIF(DataBase!$B$2:$B$26,A20) &gt; 0</f>
        <v>1</v>
      </c>
      <c r="C20" s="69">
        <f>COUNTIFS('Expression of Interest'!H:H, A20, 'Expression of Interest'!AA:AA, "Yes")</f>
        <v>0</v>
      </c>
      <c r="D20" s="70">
        <f>COUNTIFS('Expression of Interest'!H:H, $A20, 'Expression of Interest'!G:G, "F", 'Expression of Interest'!AA:AA, "Yes")</f>
        <v>0</v>
      </c>
      <c r="E20" s="70">
        <f>COUNTIFS('Expression of Interest'!H:H, $A20, 'Expression of Interest'!J:J, "Yes", 'Expression of Interest'!AA:AA, "Yes")</f>
        <v>0</v>
      </c>
      <c r="F20" s="70">
        <f>COUNTIFS('Expression of Interest'!H:H, $A20, 'Expression of Interest'!K:K, "Yes", 'Expression of Interest'!AA:AA, "Yes")</f>
        <v>0</v>
      </c>
      <c r="G20" s="70">
        <f>IFERROR(__xludf.DUMMYFUNCTION("COUNTA(UNIQUE(FILTER('Expression of Interest'!M:M, 'Expression of Interest'!H:H=$A20, 'Expression of Interest'!AA:AA=""Yes"")))"),1.0)</f>
        <v>1</v>
      </c>
      <c r="H20" s="70">
        <f>COUNTIFS('Expression of Interest'!H:H, $A20, 'Expression of Interest'!F:F, "Yes")</f>
        <v>0</v>
      </c>
      <c r="I20" s="77"/>
      <c r="J20" s="80" t="s">
        <v>116</v>
      </c>
      <c r="M20" s="69" t="str">
        <f>IFERROR(__xludf.DUMMYFUNCTION("""COMPUTED_VALUE"""),"Belgium")</f>
        <v>Belgium</v>
      </c>
      <c r="N20" s="67" t="s">
        <v>115</v>
      </c>
    </row>
    <row r="21">
      <c r="A21" s="72" t="s">
        <v>83</v>
      </c>
      <c r="B21" s="69" t="b">
        <f>COUNTIF(DataBase!$B$2:$B$26,A21) &gt; 0</f>
        <v>0</v>
      </c>
      <c r="C21" s="69">
        <f>COUNTIFS('Expression of Interest'!H:H, A21, 'Expression of Interest'!AA:AA, "Yes")</f>
        <v>0</v>
      </c>
      <c r="D21" s="70">
        <f>COUNTIFS('Expression of Interest'!H:H, $A21, 'Expression of Interest'!G:G, "F", 'Expression of Interest'!AA:AA, "Yes")</f>
        <v>0</v>
      </c>
      <c r="E21" s="70">
        <f>COUNTIFS('Expression of Interest'!H:H, $A21, 'Expression of Interest'!J:J, "Yes", 'Expression of Interest'!AA:AA, "Yes")</f>
        <v>0</v>
      </c>
      <c r="F21" s="70">
        <f>COUNTIFS('Expression of Interest'!H:H, $A21, 'Expression of Interest'!K:K, "Yes", 'Expression of Interest'!AA:AA, "Yes")</f>
        <v>0</v>
      </c>
      <c r="G21" s="70">
        <f>IFERROR(__xludf.DUMMYFUNCTION("COUNTA(UNIQUE(FILTER('Expression of Interest'!M:M, 'Expression of Interest'!H:H=$A21, 'Expression of Interest'!AA:AA=""Yes"")))"),1.0)</f>
        <v>1</v>
      </c>
      <c r="H21" s="70">
        <f>COUNTIFS('Expression of Interest'!H:H, $A21, 'Expression of Interest'!F:F, "Yes")</f>
        <v>0</v>
      </c>
      <c r="I21" s="67" t="s">
        <v>117</v>
      </c>
      <c r="J21" s="67" t="s">
        <v>118</v>
      </c>
      <c r="M21" s="69" t="str">
        <f>IFERROR(__xludf.DUMMYFUNCTION("""COMPUTED_VALUE"""),"Georgia")</f>
        <v>Georgia</v>
      </c>
      <c r="N21" s="67" t="s">
        <v>119</v>
      </c>
    </row>
    <row r="22">
      <c r="A22" s="69" t="s">
        <v>66</v>
      </c>
      <c r="B22" s="69" t="b">
        <f>COUNTIF(DataBase!$B$2:$B$26,A22) &gt; 0</f>
        <v>1</v>
      </c>
      <c r="C22" s="69">
        <f>COUNTIFS('Expression of Interest'!H:H, A22, 'Expression of Interest'!AA:AA, "Yes")</f>
        <v>0</v>
      </c>
      <c r="D22" s="70">
        <f>COUNTIFS('Expression of Interest'!H:H, $A22, 'Expression of Interest'!G:G, "F", 'Expression of Interest'!AA:AA, "Yes")</f>
        <v>0</v>
      </c>
      <c r="E22" s="70">
        <f>COUNTIFS('Expression of Interest'!H:H, $A22, 'Expression of Interest'!J:J, "Yes", 'Expression of Interest'!AA:AA, "Yes")</f>
        <v>0</v>
      </c>
      <c r="F22" s="70">
        <f>COUNTIFS('Expression of Interest'!H:H, $A22, 'Expression of Interest'!K:K, "Yes", 'Expression of Interest'!AA:AA, "Yes")</f>
        <v>0</v>
      </c>
      <c r="G22" s="70">
        <f>IFERROR(__xludf.DUMMYFUNCTION("COUNTA(UNIQUE(FILTER('Expression of Interest'!M:M, 'Expression of Interest'!H:H=$A22, 'Expression of Interest'!AA:AA=""Yes"")))"),1.0)</f>
        <v>1</v>
      </c>
      <c r="H22" s="70">
        <f>COUNTIFS('Expression of Interest'!H:H, $A22, 'Expression of Interest'!F:F, "Yes")</f>
        <v>0</v>
      </c>
      <c r="I22" s="77">
        <v>45573.0</v>
      </c>
      <c r="J22" s="67" t="s">
        <v>120</v>
      </c>
      <c r="M22" s="67" t="s">
        <v>121</v>
      </c>
    </row>
    <row r="23">
      <c r="A23" s="72" t="s">
        <v>87</v>
      </c>
      <c r="B23" s="69" t="b">
        <f>COUNTIF(DataBase!$B$2:$B$26,A23) &gt; 0</f>
        <v>0</v>
      </c>
      <c r="C23" s="69">
        <f>COUNTIFS('Expression of Interest'!H:H, A23, 'Expression of Interest'!AA:AA, "Yes")</f>
        <v>0</v>
      </c>
      <c r="D23" s="70">
        <f>COUNTIFS('Expression of Interest'!H:H, $A23, 'Expression of Interest'!G:G, "F", 'Expression of Interest'!AA:AA, "Yes")</f>
        <v>0</v>
      </c>
      <c r="E23" s="70">
        <f>COUNTIFS('Expression of Interest'!H:H, $A23, 'Expression of Interest'!J:J, "Yes", 'Expression of Interest'!AA:AA, "Yes")</f>
        <v>0</v>
      </c>
      <c r="F23" s="70">
        <f>COUNTIFS('Expression of Interest'!H:H, $A23, 'Expression of Interest'!K:K, "Yes", 'Expression of Interest'!AA:AA, "Yes")</f>
        <v>0</v>
      </c>
      <c r="G23" s="70">
        <f>IFERROR(__xludf.DUMMYFUNCTION("COUNTA(UNIQUE(FILTER('Expression of Interest'!M:M, 'Expression of Interest'!H:H=$A23, 'Expression of Interest'!AA:AA=""Yes"")))"),1.0)</f>
        <v>1</v>
      </c>
      <c r="H23" s="70">
        <f>COUNTIFS('Expression of Interest'!H:H, $A23, 'Expression of Interest'!F:F, "Yes")</f>
        <v>0</v>
      </c>
      <c r="I23" s="67" t="s">
        <v>117</v>
      </c>
      <c r="J23" s="67" t="s">
        <v>118</v>
      </c>
      <c r="M23" s="67" t="s">
        <v>122</v>
      </c>
      <c r="N23" s="67" t="s">
        <v>115</v>
      </c>
    </row>
    <row r="24">
      <c r="A24" s="69" t="s">
        <v>57</v>
      </c>
      <c r="B24" s="69" t="b">
        <f>COUNTIF(DataBase!$B$2:$B$26,A24) &gt; 0</f>
        <v>0</v>
      </c>
      <c r="C24" s="69">
        <f>COUNTIFS('Expression of Interest'!H:H, A24, 'Expression of Interest'!AA:AA, "Yes")</f>
        <v>0</v>
      </c>
      <c r="D24" s="70">
        <f>COUNTIFS('Expression of Interest'!H:H, $A24, 'Expression of Interest'!G:G, "F", 'Expression of Interest'!AA:AA, "Yes")</f>
        <v>0</v>
      </c>
      <c r="E24" s="70">
        <f>COUNTIFS('Expression of Interest'!H:H, $A24, 'Expression of Interest'!J:J, "Yes", 'Expression of Interest'!AA:AA, "Yes")</f>
        <v>0</v>
      </c>
      <c r="F24" s="70">
        <f>COUNTIFS('Expression of Interest'!H:H, $A24, 'Expression of Interest'!K:K, "Yes", 'Expression of Interest'!AA:AA, "Yes")</f>
        <v>0</v>
      </c>
      <c r="G24" s="70">
        <f>IFERROR(__xludf.DUMMYFUNCTION("COUNTA(UNIQUE(FILTER('Expression of Interest'!M:M, 'Expression of Interest'!H:H=$A24, 'Expression of Interest'!AA:AA=""Yes"")))"),1.0)</f>
        <v>1</v>
      </c>
      <c r="H24" s="70">
        <f>COUNTIFS('Expression of Interest'!H:H, $A24, 'Expression of Interest'!F:F, "Yes")</f>
        <v>0</v>
      </c>
      <c r="I24" s="81"/>
      <c r="M24" s="67" t="s">
        <v>49</v>
      </c>
      <c r="N24" s="67" t="s">
        <v>115</v>
      </c>
    </row>
    <row r="25">
      <c r="A25" s="72" t="s">
        <v>71</v>
      </c>
      <c r="B25" s="69" t="b">
        <f>COUNTIF(DataBase!$B$2:$B$26,A25) &gt; 0</f>
        <v>0</v>
      </c>
      <c r="C25" s="69">
        <f>COUNTIFS('Expression of Interest'!H:H, A25, 'Expression of Interest'!AA:AA, "Yes")</f>
        <v>0</v>
      </c>
      <c r="D25" s="70">
        <f>COUNTIFS('Expression of Interest'!H:H, $A25, 'Expression of Interest'!G:G, "F", 'Expression of Interest'!AA:AA, "Yes")</f>
        <v>0</v>
      </c>
      <c r="E25" s="70">
        <f>COUNTIFS('Expression of Interest'!H:H, $A25, 'Expression of Interest'!J:J, "Yes", 'Expression of Interest'!AA:AA, "Yes")</f>
        <v>0</v>
      </c>
      <c r="F25" s="70">
        <f>COUNTIFS('Expression of Interest'!H:H, $A25, 'Expression of Interest'!K:K, "Yes", 'Expression of Interest'!AA:AA, "Yes")</f>
        <v>0</v>
      </c>
      <c r="G25" s="70">
        <f>IFERROR(__xludf.DUMMYFUNCTION("COUNTA(UNIQUE(FILTER('Expression of Interest'!M:M, 'Expression of Interest'!H:H=$A25, 'Expression of Interest'!AA:AA=""Yes"")))"),1.0)</f>
        <v>1</v>
      </c>
      <c r="H25" s="70">
        <f>COUNTIFS('Expression of Interest'!H:H, $A25, 'Expression of Interest'!F:F, "Yes")</f>
        <v>0</v>
      </c>
      <c r="I25" s="67" t="s">
        <v>117</v>
      </c>
      <c r="J25" s="67" t="s">
        <v>118</v>
      </c>
      <c r="M25" s="67" t="s">
        <v>67</v>
      </c>
    </row>
    <row r="26">
      <c r="A26" s="69" t="s">
        <v>123</v>
      </c>
      <c r="B26" s="69" t="b">
        <f>COUNTIF(DataBase!$B$2:$B$26,A26) &gt; 0</f>
        <v>0</v>
      </c>
      <c r="C26" s="69">
        <f>COUNTIFS('Expression of Interest'!H:H, A26, 'Expression of Interest'!AA:AA, "Yes")</f>
        <v>0</v>
      </c>
      <c r="D26" s="70">
        <f>COUNTIFS('Expression of Interest'!H:H, $A26, 'Expression of Interest'!G:G, "F", 'Expression of Interest'!AA:AA, "Yes")</f>
        <v>0</v>
      </c>
      <c r="E26" s="70">
        <f>COUNTIFS('Expression of Interest'!H:H, $A26, 'Expression of Interest'!J:J, "Yes", 'Expression of Interest'!AA:AA, "Yes")</f>
        <v>0</v>
      </c>
      <c r="F26" s="70">
        <f>COUNTIFS('Expression of Interest'!H:H, $A26, 'Expression of Interest'!K:K, "Yes", 'Expression of Interest'!AA:AA, "Yes")</f>
        <v>0</v>
      </c>
      <c r="G26" s="70">
        <f>IFERROR(__xludf.DUMMYFUNCTION("COUNTA(UNIQUE(FILTER('Expression of Interest'!M:M, 'Expression of Interest'!H:H=$A26, 'Expression of Interest'!AA:AA=""Yes"")))"),1.0)</f>
        <v>1</v>
      </c>
      <c r="H26" s="70">
        <f>COUNTIFS('Expression of Interest'!H:H, $A26, 'Expression of Interest'!F:F, "Yes")</f>
        <v>0</v>
      </c>
      <c r="I26" s="77">
        <v>45561.0</v>
      </c>
      <c r="J26" s="67" t="s">
        <v>124</v>
      </c>
      <c r="K26" s="67"/>
      <c r="L26" s="67"/>
      <c r="M26" s="67" t="s">
        <v>86</v>
      </c>
    </row>
    <row r="27">
      <c r="A27" s="72" t="s">
        <v>54</v>
      </c>
      <c r="B27" s="69" t="b">
        <f>COUNTIF(DataBase!$B$2:$B$26,A27) &gt; 0</f>
        <v>1</v>
      </c>
      <c r="C27" s="69">
        <f>COUNTIFS('Expression of Interest'!H:H, A27, 'Expression of Interest'!AA:AA, "Yes")</f>
        <v>0</v>
      </c>
      <c r="D27" s="70">
        <f>COUNTIFS('Expression of Interest'!H:H, $A27, 'Expression of Interest'!G:G, "F", 'Expression of Interest'!AA:AA, "Yes")</f>
        <v>0</v>
      </c>
      <c r="E27" s="70">
        <f>COUNTIFS('Expression of Interest'!H:H, $A27, 'Expression of Interest'!J:J, "Yes", 'Expression of Interest'!AA:AA, "Yes")</f>
        <v>0</v>
      </c>
      <c r="F27" s="70">
        <f>COUNTIFS('Expression of Interest'!H:H, $A27, 'Expression of Interest'!K:K, "Yes", 'Expression of Interest'!AA:AA, "Yes")</f>
        <v>0</v>
      </c>
      <c r="G27" s="70">
        <f>IFERROR(__xludf.DUMMYFUNCTION("COUNTA(UNIQUE(FILTER('Expression of Interest'!M:M, 'Expression of Interest'!H:H=$A27, 'Expression of Interest'!AA:AA=""Yes"")))"),1.0)</f>
        <v>1</v>
      </c>
      <c r="H27" s="70">
        <f>COUNTIFS('Expression of Interest'!H:H, $A27, 'Expression of Interest'!F:F, "Yes")</f>
        <v>0</v>
      </c>
      <c r="I27" s="67" t="s">
        <v>117</v>
      </c>
      <c r="J27" s="67" t="s">
        <v>125</v>
      </c>
      <c r="M27" s="67" t="s">
        <v>79</v>
      </c>
    </row>
    <row r="28">
      <c r="A28" s="72" t="s">
        <v>56</v>
      </c>
      <c r="B28" s="69" t="b">
        <f>COUNTIF(DataBase!$B$2:$B$26,A28) &gt; 0</f>
        <v>1</v>
      </c>
      <c r="C28" s="69">
        <f>COUNTIFS('Expression of Interest'!H:H, A28, 'Expression of Interest'!AA:AA, "Yes")</f>
        <v>0</v>
      </c>
      <c r="D28" s="70">
        <f>COUNTIFS('Expression of Interest'!H:H, $A28, 'Expression of Interest'!G:G, "F", 'Expression of Interest'!AA:AA, "Yes")</f>
        <v>0</v>
      </c>
      <c r="E28" s="70">
        <f>COUNTIFS('Expression of Interest'!H:H, $A28, 'Expression of Interest'!J:J, "Yes", 'Expression of Interest'!AA:AA, "Yes")</f>
        <v>0</v>
      </c>
      <c r="F28" s="70">
        <f>COUNTIFS('Expression of Interest'!H:H, $A28, 'Expression of Interest'!K:K, "Yes", 'Expression of Interest'!AA:AA, "Yes")</f>
        <v>0</v>
      </c>
      <c r="G28" s="70">
        <f>IFERROR(__xludf.DUMMYFUNCTION("COUNTA(UNIQUE(FILTER('Expression of Interest'!M:M, 'Expression of Interest'!H:H=$A28, 'Expression of Interest'!AA:AA=""Yes"")))"),1.0)</f>
        <v>1</v>
      </c>
      <c r="H28" s="70">
        <f>COUNTIFS('Expression of Interest'!H:H, $A28, 'Expression of Interest'!F:F, "Yes")</f>
        <v>0</v>
      </c>
      <c r="I28" s="67" t="s">
        <v>117</v>
      </c>
      <c r="J28" s="67" t="s">
        <v>126</v>
      </c>
      <c r="M28" s="67" t="s">
        <v>127</v>
      </c>
      <c r="N28" s="67" t="s">
        <v>115</v>
      </c>
    </row>
    <row r="29">
      <c r="A29" s="72" t="s">
        <v>67</v>
      </c>
      <c r="B29" s="69" t="b">
        <f>COUNTIF(DataBase!$B$2:$B$26,A29) &gt; 0</f>
        <v>0</v>
      </c>
      <c r="C29" s="69">
        <f>COUNTIFS('Expression of Interest'!H:H, A29, 'Expression of Interest'!AA:AA, "Yes")</f>
        <v>0</v>
      </c>
      <c r="D29" s="70">
        <f>COUNTIFS('Expression of Interest'!H:H, $A29, 'Expression of Interest'!G:G, "F", 'Expression of Interest'!AA:AA, "Yes")</f>
        <v>0</v>
      </c>
      <c r="E29" s="70">
        <f>COUNTIFS('Expression of Interest'!H:H, $A29, 'Expression of Interest'!J:J, "Yes", 'Expression of Interest'!AA:AA, "Yes")</f>
        <v>0</v>
      </c>
      <c r="F29" s="70">
        <f>COUNTIFS('Expression of Interest'!H:H, $A29, 'Expression of Interest'!K:K, "Yes", 'Expression of Interest'!AA:AA, "Yes")</f>
        <v>0</v>
      </c>
      <c r="G29" s="70">
        <f>IFERROR(__xludf.DUMMYFUNCTION("COUNTA(UNIQUE(FILTER('Expression of Interest'!M:M, 'Expression of Interest'!H:H=$A29, 'Expression of Interest'!AA:AA=""Yes"")))"),1.0)</f>
        <v>1</v>
      </c>
      <c r="H29" s="70">
        <f>COUNTIFS('Expression of Interest'!H:H, $A29, 'Expression of Interest'!F:F, "Yes")</f>
        <v>0</v>
      </c>
      <c r="I29" s="67" t="s">
        <v>117</v>
      </c>
      <c r="J29" s="67" t="s">
        <v>118</v>
      </c>
      <c r="K29" s="67"/>
      <c r="L29" s="67"/>
    </row>
    <row r="30">
      <c r="A30" s="69" t="s">
        <v>64</v>
      </c>
      <c r="B30" s="69" t="b">
        <f>COUNTIF(DataBase!$B$2:$B$26,A30) &gt; 0</f>
        <v>0</v>
      </c>
      <c r="C30" s="69">
        <f>COUNTIFS('Expression of Interest'!H:H, A30, 'Expression of Interest'!AA:AA, "Yes")</f>
        <v>0</v>
      </c>
      <c r="D30" s="70">
        <f>COUNTIFS('Expression of Interest'!H:H, $A30, 'Expression of Interest'!G:G, "F", 'Expression of Interest'!AA:AA, "Yes")</f>
        <v>0</v>
      </c>
      <c r="E30" s="70">
        <f>COUNTIFS('Expression of Interest'!H:H, $A30, 'Expression of Interest'!J:J, "Yes", 'Expression of Interest'!AA:AA, "Yes")</f>
        <v>0</v>
      </c>
      <c r="F30" s="70">
        <f>COUNTIFS('Expression of Interest'!H:H, $A30, 'Expression of Interest'!K:K, "Yes", 'Expression of Interest'!AA:AA, "Yes")</f>
        <v>0</v>
      </c>
      <c r="G30" s="70">
        <f>IFERROR(__xludf.DUMMYFUNCTION("COUNTA(UNIQUE(FILTER('Expression of Interest'!M:M, 'Expression of Interest'!H:H=$A30, 'Expression of Interest'!AA:AA=""Yes"")))"),1.0)</f>
        <v>1</v>
      </c>
      <c r="H30" s="70">
        <f>COUNTIFS('Expression of Interest'!H:H, $A30, 'Expression of Interest'!F:F, "Yes")</f>
        <v>0</v>
      </c>
      <c r="I30" s="77"/>
    </row>
    <row r="31">
      <c r="A31" s="69" t="s">
        <v>49</v>
      </c>
      <c r="B31" s="69" t="b">
        <f>COUNTIF(DataBase!$B$2:$B$26,A31) &gt; 0</f>
        <v>0</v>
      </c>
      <c r="C31" s="69">
        <f>COUNTIFS('Expression of Interest'!H:H, A31, 'Expression of Interest'!AA:AA, "Yes")</f>
        <v>0</v>
      </c>
      <c r="D31" s="70">
        <f>COUNTIFS('Expression of Interest'!H:H, $A31, 'Expression of Interest'!G:G, "F", 'Expression of Interest'!AA:AA, "Yes")</f>
        <v>0</v>
      </c>
      <c r="E31" s="70">
        <f>COUNTIFS('Expression of Interest'!H:H, $A31, 'Expression of Interest'!J:J, "Yes", 'Expression of Interest'!AA:AA, "Yes")</f>
        <v>0</v>
      </c>
      <c r="F31" s="70">
        <f>COUNTIFS('Expression of Interest'!H:H, $A31, 'Expression of Interest'!K:K, "Yes", 'Expression of Interest'!AA:AA, "Yes")</f>
        <v>0</v>
      </c>
      <c r="G31" s="70">
        <f>IFERROR(__xludf.DUMMYFUNCTION("COUNTA(UNIQUE(FILTER('Expression of Interest'!M:M, 'Expression of Interest'!H:H=$A31, 'Expression of Interest'!AA:AA=""Yes"")))"),1.0)</f>
        <v>1</v>
      </c>
      <c r="H31" s="70">
        <f>COUNTIFS('Expression of Interest'!H:H, $A31, 'Expression of Interest'!F:F, "Yes")</f>
        <v>0</v>
      </c>
      <c r="I31" s="77">
        <v>45573.0</v>
      </c>
      <c r="J31" s="67" t="s">
        <v>128</v>
      </c>
      <c r="K31" s="67"/>
      <c r="L31" s="67"/>
    </row>
    <row r="32">
      <c r="A32" s="69" t="s">
        <v>52</v>
      </c>
      <c r="B32" s="69" t="b">
        <f>COUNTIF(DataBase!$B$2:$B$26,A32) &gt; 0</f>
        <v>1</v>
      </c>
      <c r="C32" s="69">
        <f>COUNTIFS('Expression of Interest'!H:H, A32, 'Expression of Interest'!AA:AA, "Yes")</f>
        <v>0</v>
      </c>
      <c r="D32" s="70">
        <f>COUNTIFS('Expression of Interest'!H:H, $A32, 'Expression of Interest'!G:G, "F", 'Expression of Interest'!AA:AA, "Yes")</f>
        <v>0</v>
      </c>
      <c r="E32" s="70">
        <f>COUNTIFS('Expression of Interest'!H:H, $A32, 'Expression of Interest'!J:J, "Yes", 'Expression of Interest'!AA:AA, "Yes")</f>
        <v>0</v>
      </c>
      <c r="F32" s="70">
        <f>COUNTIFS('Expression of Interest'!H:H, $A32, 'Expression of Interest'!K:K, "Yes", 'Expression of Interest'!AA:AA, "Yes")</f>
        <v>0</v>
      </c>
      <c r="G32" s="70">
        <f>IFERROR(__xludf.DUMMYFUNCTION("COUNTA(UNIQUE(FILTER('Expression of Interest'!M:M, 'Expression of Interest'!H:H=$A32, 'Expression of Interest'!AA:AA=""Yes"")))"),1.0)</f>
        <v>1</v>
      </c>
      <c r="H32" s="70">
        <f>COUNTIFS('Expression of Interest'!H:H, $A32, 'Expression of Interest'!F:F, "Yes")</f>
        <v>0</v>
      </c>
      <c r="I32" s="77"/>
      <c r="K32" s="67"/>
      <c r="L32" s="67"/>
    </row>
    <row r="33">
      <c r="A33" s="72" t="s">
        <v>129</v>
      </c>
      <c r="B33" s="69" t="b">
        <f>COUNTIF(DataBase!$B$2:$B$26,A33) &gt; 0</f>
        <v>0</v>
      </c>
      <c r="C33" s="69">
        <f>COUNTIFS('Expression of Interest'!H:H, A33, 'Expression of Interest'!AA:AA, "Yes")</f>
        <v>0</v>
      </c>
      <c r="D33" s="70">
        <f>COUNTIFS('Expression of Interest'!H:H, $A33, 'Expression of Interest'!G:G, "F", 'Expression of Interest'!AA:AA, "Yes")</f>
        <v>0</v>
      </c>
      <c r="E33" s="70">
        <f>COUNTIFS('Expression of Interest'!H:H, $A33, 'Expression of Interest'!J:J, "Yes", 'Expression of Interest'!AA:AA, "Yes")</f>
        <v>0</v>
      </c>
      <c r="F33" s="70">
        <f>COUNTIFS('Expression of Interest'!H:H, $A33, 'Expression of Interest'!K:K, "Yes", 'Expression of Interest'!AA:AA, "Yes")</f>
        <v>0</v>
      </c>
      <c r="G33" s="70">
        <f>IFERROR(__xludf.DUMMYFUNCTION("COUNTA(UNIQUE(FILTER('Expression of Interest'!M:M, 'Expression of Interest'!H:H=$A33, 'Expression of Interest'!AA:AA=""Yes"")))"),1.0)</f>
        <v>1</v>
      </c>
      <c r="H33" s="70">
        <f>COUNTIFS('Expression of Interest'!H:H, $A33, 'Expression of Interest'!F:F, "Yes")</f>
        <v>0</v>
      </c>
      <c r="I33" s="67" t="s">
        <v>117</v>
      </c>
      <c r="J33" s="67" t="s">
        <v>130</v>
      </c>
      <c r="M33" s="66" t="s">
        <v>131</v>
      </c>
    </row>
    <row r="34">
      <c r="A34" s="69" t="s">
        <v>86</v>
      </c>
      <c r="B34" s="69" t="b">
        <f>COUNTIF(DataBase!$B$2:$B$26,A34) &gt; 0</f>
        <v>0</v>
      </c>
      <c r="C34" s="69">
        <f>COUNTIFS('Expression of Interest'!H:H, A34, 'Expression of Interest'!AA:AA, "Yes")</f>
        <v>0</v>
      </c>
      <c r="D34" s="70">
        <f>COUNTIFS('Expression of Interest'!H:H, $A34, 'Expression of Interest'!G:G, "F", 'Expression of Interest'!AA:AA, "Yes")</f>
        <v>0</v>
      </c>
      <c r="E34" s="70">
        <f>COUNTIFS('Expression of Interest'!H:H, $A34, 'Expression of Interest'!J:J, "Yes", 'Expression of Interest'!AA:AA, "Yes")</f>
        <v>0</v>
      </c>
      <c r="F34" s="70">
        <f>COUNTIFS('Expression of Interest'!H:H, $A34, 'Expression of Interest'!K:K, "Yes", 'Expression of Interest'!AA:AA, "Yes")</f>
        <v>0</v>
      </c>
      <c r="G34" s="70">
        <f>IFERROR(__xludf.DUMMYFUNCTION("COUNTA(UNIQUE(FILTER('Expression of Interest'!M:M, 'Expression of Interest'!H:H=$A34, 'Expression of Interest'!AA:AA=""Yes"")))"),1.0)</f>
        <v>1</v>
      </c>
      <c r="H34" s="70">
        <f>COUNTIFS('Expression of Interest'!H:H, $A34, 'Expression of Interest'!F:F, "Yes")</f>
        <v>0</v>
      </c>
      <c r="I34" s="77">
        <v>45573.0</v>
      </c>
      <c r="J34" s="67" t="s">
        <v>132</v>
      </c>
      <c r="M34" s="82" t="str">
        <f>IFERROR(__xludf.DUMMYFUNCTION("FILTER('Global Statistics'!A3:A48, ISNA(MATCH('Global Statistics'!A3:A48, A3:A48, 0)))
"),"#N/A")</f>
        <v>#N/A</v>
      </c>
    </row>
    <row r="35">
      <c r="A35" s="72" t="s">
        <v>133</v>
      </c>
      <c r="B35" s="69" t="b">
        <f>COUNTIF(DataBase!$B$2:$B$26,A35) &gt; 0</f>
        <v>0</v>
      </c>
      <c r="C35" s="69">
        <f>COUNTIFS('Expression of Interest'!H:H, A35, 'Expression of Interest'!AA:AA, "Yes")</f>
        <v>0</v>
      </c>
      <c r="D35" s="70">
        <f>COUNTIFS('Expression of Interest'!H:H, $A35, 'Expression of Interest'!G:G, "F", 'Expression of Interest'!AA:AA, "Yes")</f>
        <v>0</v>
      </c>
      <c r="E35" s="70">
        <f>COUNTIFS('Expression of Interest'!H:H, $A35, 'Expression of Interest'!J:J, "Yes", 'Expression of Interest'!AA:AA, "Yes")</f>
        <v>0</v>
      </c>
      <c r="F35" s="70">
        <f>COUNTIFS('Expression of Interest'!H:H, $A35, 'Expression of Interest'!K:K, "Yes", 'Expression of Interest'!AA:AA, "Yes")</f>
        <v>0</v>
      </c>
      <c r="G35" s="70">
        <f>IFERROR(__xludf.DUMMYFUNCTION("COUNTA(UNIQUE(FILTER('Expression of Interest'!M:M, 'Expression of Interest'!H:H=$A35, 'Expression of Interest'!AA:AA=""Yes"")))"),1.0)</f>
        <v>1</v>
      </c>
      <c r="H35" s="70">
        <f>COUNTIFS('Expression of Interest'!H:H, $A35, 'Expression of Interest'!F:F, "Yes")</f>
        <v>0</v>
      </c>
      <c r="I35" s="67" t="s">
        <v>117</v>
      </c>
      <c r="M35" s="69"/>
    </row>
    <row r="36">
      <c r="A36" s="72" t="s">
        <v>134</v>
      </c>
      <c r="B36" s="69" t="b">
        <f>COUNTIF(DataBase!$B$2:$B$26,A36) &gt; 0</f>
        <v>0</v>
      </c>
      <c r="C36" s="69">
        <f>COUNTIFS('Expression of Interest'!H:H, A36, 'Expression of Interest'!AA:AA, "Yes")</f>
        <v>0</v>
      </c>
      <c r="D36" s="70">
        <f>COUNTIFS('Expression of Interest'!H:H, $A36, 'Expression of Interest'!G:G, "F", 'Expression of Interest'!AA:AA, "Yes")</f>
        <v>0</v>
      </c>
      <c r="E36" s="70">
        <f>COUNTIFS('Expression of Interest'!H:H, $A36, 'Expression of Interest'!J:J, "Yes", 'Expression of Interest'!AA:AA, "Yes")</f>
        <v>0</v>
      </c>
      <c r="F36" s="70">
        <f>COUNTIFS('Expression of Interest'!H:H, $A36, 'Expression of Interest'!K:K, "Yes", 'Expression of Interest'!AA:AA, "Yes")</f>
        <v>0</v>
      </c>
      <c r="G36" s="70">
        <f>IFERROR(__xludf.DUMMYFUNCTION("COUNTA(UNIQUE(FILTER('Expression of Interest'!M:M, 'Expression of Interest'!H:H=$A36, 'Expression of Interest'!AA:AA=""Yes"")))"),1.0)</f>
        <v>1</v>
      </c>
      <c r="H36" s="70">
        <f>COUNTIFS('Expression of Interest'!H:H, $A36, 'Expression of Interest'!F:F, "Yes")</f>
        <v>0</v>
      </c>
      <c r="I36" s="67" t="s">
        <v>117</v>
      </c>
      <c r="M36" s="69"/>
    </row>
    <row r="37">
      <c r="A37" s="69" t="s">
        <v>76</v>
      </c>
      <c r="B37" s="69" t="b">
        <f>COUNTIF(DataBase!$B$2:$B$26,A37) &gt; 0</f>
        <v>1</v>
      </c>
      <c r="C37" s="69">
        <f>COUNTIFS('Expression of Interest'!H:H, A37, 'Expression of Interest'!AA:AA, "Yes")</f>
        <v>0</v>
      </c>
      <c r="D37" s="70">
        <f>COUNTIFS('Expression of Interest'!H:H, $A37, 'Expression of Interest'!G:G, "F", 'Expression of Interest'!AA:AA, "Yes")</f>
        <v>0</v>
      </c>
      <c r="E37" s="70">
        <f>COUNTIFS('Expression of Interest'!H:H, $A37, 'Expression of Interest'!J:J, "Yes", 'Expression of Interest'!AA:AA, "Yes")</f>
        <v>0</v>
      </c>
      <c r="F37" s="70">
        <f>COUNTIFS('Expression of Interest'!H:H, $A37, 'Expression of Interest'!K:K, "Yes", 'Expression of Interest'!AA:AA, "Yes")</f>
        <v>0</v>
      </c>
      <c r="G37" s="70">
        <f>IFERROR(__xludf.DUMMYFUNCTION("COUNTA(UNIQUE(FILTER('Expression of Interest'!M:M, 'Expression of Interest'!H:H=$A37, 'Expression of Interest'!AA:AA=""Yes"")))"),1.0)</f>
        <v>1</v>
      </c>
      <c r="H37" s="70">
        <f>COUNTIFS('Expression of Interest'!H:H, $A37, 'Expression of Interest'!F:F, "Yes")</f>
        <v>0</v>
      </c>
      <c r="I37" s="77">
        <v>45573.0</v>
      </c>
      <c r="J37" s="67" t="s">
        <v>135</v>
      </c>
      <c r="M37" s="69"/>
    </row>
    <row r="38">
      <c r="A38" s="69" t="s">
        <v>69</v>
      </c>
      <c r="B38" s="69" t="b">
        <f>COUNTIF(DataBase!$B$2:$B$26,A38) &gt; 0</f>
        <v>1</v>
      </c>
      <c r="C38" s="69">
        <f>COUNTIFS('Expression of Interest'!H:H, A38, 'Expression of Interest'!AA:AA, "Yes")</f>
        <v>0</v>
      </c>
      <c r="D38" s="70">
        <f>COUNTIFS('Expression of Interest'!H:H, $A38, 'Expression of Interest'!G:G, "F", 'Expression of Interest'!AA:AA, "Yes")</f>
        <v>0</v>
      </c>
      <c r="E38" s="70">
        <f>COUNTIFS('Expression of Interest'!H:H, $A38, 'Expression of Interest'!J:J, "Yes", 'Expression of Interest'!AA:AA, "Yes")</f>
        <v>0</v>
      </c>
      <c r="F38" s="70">
        <f>COUNTIFS('Expression of Interest'!H:H, $A38, 'Expression of Interest'!K:K, "Yes", 'Expression of Interest'!AA:AA, "Yes")</f>
        <v>0</v>
      </c>
      <c r="G38" s="70">
        <f>IFERROR(__xludf.DUMMYFUNCTION("COUNTA(UNIQUE(FILTER('Expression of Interest'!M:M, 'Expression of Interest'!H:H=$A38, 'Expression of Interest'!AA:AA=""Yes"")))"),1.0)</f>
        <v>1</v>
      </c>
      <c r="H38" s="70">
        <f>COUNTIFS('Expression of Interest'!H:H, $A38, 'Expression of Interest'!F:F, "Yes")</f>
        <v>0</v>
      </c>
      <c r="I38" s="77">
        <v>45573.0</v>
      </c>
      <c r="J38" s="67" t="s">
        <v>136</v>
      </c>
      <c r="M38" s="69"/>
    </row>
    <row r="39">
      <c r="A39" s="69" t="s">
        <v>59</v>
      </c>
      <c r="B39" s="69" t="b">
        <f>COUNTIF(DataBase!$B$2:$B$26,A39) &gt; 0</f>
        <v>0</v>
      </c>
      <c r="C39" s="69">
        <f>COUNTIFS('Expression of Interest'!H:H, A39, 'Expression of Interest'!AA:AA, "Yes")</f>
        <v>0</v>
      </c>
      <c r="D39" s="70">
        <f>COUNTIFS('Expression of Interest'!H:H, $A39, 'Expression of Interest'!G:G, "F", 'Expression of Interest'!AA:AA, "Yes")</f>
        <v>0</v>
      </c>
      <c r="E39" s="70">
        <f>COUNTIFS('Expression of Interest'!H:H, $A39, 'Expression of Interest'!J:J, "Yes", 'Expression of Interest'!AA:AA, "Yes")</f>
        <v>0</v>
      </c>
      <c r="F39" s="70">
        <f>COUNTIFS('Expression of Interest'!H:H, $A39, 'Expression of Interest'!K:K, "Yes", 'Expression of Interest'!AA:AA, "Yes")</f>
        <v>0</v>
      </c>
      <c r="G39" s="70">
        <f>IFERROR(__xludf.DUMMYFUNCTION("COUNTA(UNIQUE(FILTER('Expression of Interest'!M:M, 'Expression of Interest'!H:H=$A39, 'Expression of Interest'!AA:AA=""Yes"")))"),1.0)</f>
        <v>1</v>
      </c>
      <c r="H39" s="70">
        <f>COUNTIFS('Expression of Interest'!H:H, $A39, 'Expression of Interest'!F:F, "Yes")</f>
        <v>0</v>
      </c>
      <c r="I39" s="77">
        <v>45573.0</v>
      </c>
      <c r="J39" s="67" t="s">
        <v>137</v>
      </c>
      <c r="M39" s="69"/>
    </row>
    <row r="40">
      <c r="A40" s="72" t="s">
        <v>79</v>
      </c>
      <c r="B40" s="69" t="b">
        <f>COUNTIF(DataBase!$B$2:$B$26,A40) &gt; 0</f>
        <v>0</v>
      </c>
      <c r="C40" s="69">
        <f>COUNTIFS('Expression of Interest'!H:H, A40, 'Expression of Interest'!AA:AA, "Yes")</f>
        <v>0</v>
      </c>
      <c r="D40" s="70">
        <f>COUNTIFS('Expression of Interest'!H:H, $A40, 'Expression of Interest'!G:G, "F", 'Expression of Interest'!AA:AA, "Yes")</f>
        <v>0</v>
      </c>
      <c r="E40" s="70">
        <f>COUNTIFS('Expression of Interest'!H:H, $A40, 'Expression of Interest'!J:J, "Yes", 'Expression of Interest'!AA:AA, "Yes")</f>
        <v>0</v>
      </c>
      <c r="F40" s="70">
        <f>COUNTIFS('Expression of Interest'!H:H, $A40, 'Expression of Interest'!K:K, "Yes", 'Expression of Interest'!AA:AA, "Yes")</f>
        <v>0</v>
      </c>
      <c r="G40" s="70">
        <f>IFERROR(__xludf.DUMMYFUNCTION("COUNTA(UNIQUE(FILTER('Expression of Interest'!M:M, 'Expression of Interest'!H:H=$A40, 'Expression of Interest'!AA:AA=""Yes"")))"),1.0)</f>
        <v>1</v>
      </c>
      <c r="H40" s="70">
        <f>COUNTIFS('Expression of Interest'!H:H, $A40, 'Expression of Interest'!F:F, "Yes")</f>
        <v>0</v>
      </c>
      <c r="I40" s="67" t="s">
        <v>117</v>
      </c>
      <c r="J40" s="67" t="s">
        <v>138</v>
      </c>
      <c r="M40" s="69"/>
    </row>
    <row r="41">
      <c r="A41" s="69" t="s">
        <v>68</v>
      </c>
      <c r="B41" s="69" t="b">
        <f>COUNTIF(DataBase!$B$2:$B$26,A41) &gt; 0</f>
        <v>1</v>
      </c>
      <c r="C41" s="69">
        <f>COUNTIFS('Expression of Interest'!H:H, A41, 'Expression of Interest'!AA:AA, "Yes")</f>
        <v>0</v>
      </c>
      <c r="D41" s="70">
        <f>COUNTIFS('Expression of Interest'!H:H, $A41, 'Expression of Interest'!G:G, "F", 'Expression of Interest'!AA:AA, "Yes")</f>
        <v>0</v>
      </c>
      <c r="E41" s="70">
        <f>COUNTIFS('Expression of Interest'!H:H, $A41, 'Expression of Interest'!J:J, "Yes", 'Expression of Interest'!AA:AA, "Yes")</f>
        <v>0</v>
      </c>
      <c r="F41" s="70">
        <f>COUNTIFS('Expression of Interest'!H:H, $A41, 'Expression of Interest'!K:K, "Yes", 'Expression of Interest'!AA:AA, "Yes")</f>
        <v>0</v>
      </c>
      <c r="G41" s="70">
        <f>IFERROR(__xludf.DUMMYFUNCTION("COUNTA(UNIQUE(FILTER('Expression of Interest'!M:M, 'Expression of Interest'!H:H=$A41, 'Expression of Interest'!AA:AA=""Yes"")))"),1.0)</f>
        <v>1</v>
      </c>
      <c r="H41" s="70">
        <f>COUNTIFS('Expression of Interest'!H:H, $A41, 'Expression of Interest'!F:F, "Yes")</f>
        <v>0</v>
      </c>
      <c r="I41" s="77">
        <v>45573.0</v>
      </c>
      <c r="J41" s="67" t="s">
        <v>139</v>
      </c>
      <c r="M41" s="69"/>
    </row>
    <row r="42">
      <c r="A42" s="72" t="s">
        <v>62</v>
      </c>
      <c r="B42" s="69" t="b">
        <f>COUNTIF(DataBase!$B$2:$B$26,A42) &gt; 0</f>
        <v>0</v>
      </c>
      <c r="C42" s="69">
        <f>COUNTIFS('Expression of Interest'!H:H, A42, 'Expression of Interest'!AA:AA, "Yes")</f>
        <v>0</v>
      </c>
      <c r="D42" s="70">
        <f>COUNTIFS('Expression of Interest'!H:H, $A42, 'Expression of Interest'!G:G, "F", 'Expression of Interest'!AA:AA, "Yes")</f>
        <v>0</v>
      </c>
      <c r="E42" s="70">
        <f>COUNTIFS('Expression of Interest'!H:H, $A42, 'Expression of Interest'!J:J, "Yes", 'Expression of Interest'!AA:AA, "Yes")</f>
        <v>0</v>
      </c>
      <c r="F42" s="70">
        <f>COUNTIFS('Expression of Interest'!H:H, $A42, 'Expression of Interest'!K:K, "Yes", 'Expression of Interest'!AA:AA, "Yes")</f>
        <v>0</v>
      </c>
      <c r="G42" s="70">
        <f>IFERROR(__xludf.DUMMYFUNCTION("COUNTA(UNIQUE(FILTER('Expression of Interest'!M:M, 'Expression of Interest'!H:H=$A42, 'Expression of Interest'!AA:AA=""Yes"")))"),1.0)</f>
        <v>1</v>
      </c>
      <c r="H42" s="70">
        <f>COUNTIFS('Expression of Interest'!H:H, $A42, 'Expression of Interest'!F:F, "Yes")</f>
        <v>0</v>
      </c>
      <c r="I42" s="67" t="s">
        <v>117</v>
      </c>
      <c r="J42" s="67" t="s">
        <v>140</v>
      </c>
      <c r="M42" s="69"/>
    </row>
    <row r="43">
      <c r="A43" s="69" t="s">
        <v>50</v>
      </c>
      <c r="B43" s="69" t="b">
        <f>COUNTIF(DataBase!$B$2:$B$26,A43) &gt; 0</f>
        <v>1</v>
      </c>
      <c r="C43" s="69">
        <f>COUNTIFS('Expression of Interest'!H:H, A43, 'Expression of Interest'!AA:AA, "Yes")</f>
        <v>0</v>
      </c>
      <c r="D43" s="70">
        <f>COUNTIFS('Expression of Interest'!H:H, $A43, 'Expression of Interest'!G:G, "F", 'Expression of Interest'!AA:AA, "Yes")</f>
        <v>0</v>
      </c>
      <c r="E43" s="70">
        <f>COUNTIFS('Expression of Interest'!H:H, $A43, 'Expression of Interest'!J:J, "Yes", 'Expression of Interest'!AA:AA, "Yes")</f>
        <v>0</v>
      </c>
      <c r="F43" s="70">
        <f>COUNTIFS('Expression of Interest'!H:H, $A43, 'Expression of Interest'!K:K, "Yes", 'Expression of Interest'!AA:AA, "Yes")</f>
        <v>0</v>
      </c>
      <c r="G43" s="70">
        <f>IFERROR(__xludf.DUMMYFUNCTION("COUNTA(UNIQUE(FILTER('Expression of Interest'!M:M, 'Expression of Interest'!H:H=$A43, 'Expression of Interest'!AA:AA=""Yes"")))"),1.0)</f>
        <v>1</v>
      </c>
      <c r="H43" s="70">
        <f>COUNTIFS('Expression of Interest'!H:H, $A43, 'Expression of Interest'!F:F, "Yes")</f>
        <v>0</v>
      </c>
      <c r="I43" s="77">
        <v>45573.0</v>
      </c>
      <c r="J43" s="67" t="s">
        <v>141</v>
      </c>
      <c r="M43" s="69"/>
    </row>
    <row r="44">
      <c r="A44" s="69" t="s">
        <v>84</v>
      </c>
      <c r="B44" s="69" t="b">
        <f>COUNTIF(DataBase!$B$2:$B$26,A44) &gt; 0</f>
        <v>0</v>
      </c>
      <c r="C44" s="69">
        <f>COUNTIFS('Expression of Interest'!H:H, A44, 'Expression of Interest'!AA:AA, "Yes")</f>
        <v>0</v>
      </c>
      <c r="D44" s="70">
        <f>COUNTIFS('Expression of Interest'!H:H, $A44, 'Expression of Interest'!G:G, "F", 'Expression of Interest'!AA:AA, "Yes")</f>
        <v>0</v>
      </c>
      <c r="E44" s="70">
        <f>COUNTIFS('Expression of Interest'!H:H, $A44, 'Expression of Interest'!J:J, "Yes", 'Expression of Interest'!AA:AA, "Yes")</f>
        <v>0</v>
      </c>
      <c r="F44" s="70">
        <f>COUNTIFS('Expression of Interest'!H:H, $A44, 'Expression of Interest'!K:K, "Yes", 'Expression of Interest'!AA:AA, "Yes")</f>
        <v>0</v>
      </c>
      <c r="G44" s="70">
        <f>IFERROR(__xludf.DUMMYFUNCTION("COUNTA(UNIQUE(FILTER('Expression of Interest'!M:M, 'Expression of Interest'!H:H=$A44, 'Expression of Interest'!AA:AA=""Yes"")))"),1.0)</f>
        <v>1</v>
      </c>
      <c r="H44" s="70">
        <f>COUNTIFS('Expression of Interest'!H:H, $A44, 'Expression of Interest'!F:F, "Yes")</f>
        <v>0</v>
      </c>
      <c r="I44" s="77">
        <v>45573.0</v>
      </c>
      <c r="J44" s="67" t="s">
        <v>141</v>
      </c>
      <c r="M44" s="69"/>
    </row>
    <row r="45">
      <c r="A45" s="69" t="s">
        <v>82</v>
      </c>
      <c r="B45" s="69" t="b">
        <f>COUNTIF(DataBase!$B$2:$B$26,A45) &gt; 0</f>
        <v>1</v>
      </c>
      <c r="C45" s="69">
        <f>COUNTIFS('Expression of Interest'!H:H, A45, 'Expression of Interest'!AA:AA, "Yes")</f>
        <v>0</v>
      </c>
      <c r="D45" s="70">
        <f>COUNTIFS('Expression of Interest'!H:H, $A45, 'Expression of Interest'!G:G, "F", 'Expression of Interest'!AA:AA, "Yes")</f>
        <v>0</v>
      </c>
      <c r="E45" s="70">
        <f>COUNTIFS('Expression of Interest'!H:H, $A45, 'Expression of Interest'!J:J, "Yes", 'Expression of Interest'!AA:AA, "Yes")</f>
        <v>0</v>
      </c>
      <c r="F45" s="70">
        <f>COUNTIFS('Expression of Interest'!H:H, $A45, 'Expression of Interest'!K:K, "Yes", 'Expression of Interest'!AA:AA, "Yes")</f>
        <v>0</v>
      </c>
      <c r="G45" s="70">
        <f>IFERROR(__xludf.DUMMYFUNCTION("COUNTA(UNIQUE(FILTER('Expression of Interest'!M:M, 'Expression of Interest'!H:H=$A45, 'Expression of Interest'!AA:AA=""Yes"")))"),1.0)</f>
        <v>1</v>
      </c>
      <c r="H45" s="70">
        <f>COUNTIFS('Expression of Interest'!H:H, $A45, 'Expression of Interest'!F:F, "Yes")</f>
        <v>0</v>
      </c>
      <c r="I45" s="81"/>
      <c r="M45" s="69"/>
    </row>
    <row r="46">
      <c r="A46" s="67" t="s">
        <v>142</v>
      </c>
      <c r="B46" s="69" t="b">
        <f>COUNTIF(DataBase!$B$2:$B$26,A46) &gt; 0</f>
        <v>0</v>
      </c>
      <c r="C46" s="69">
        <f>COUNTIFS('Expression of Interest'!H:H, A46, 'Expression of Interest'!AA:AA, "Yes")</f>
        <v>0</v>
      </c>
      <c r="D46" s="70">
        <f>COUNTIFS('Expression of Interest'!H:H, $A46, 'Expression of Interest'!G:G, "F", 'Expression of Interest'!AA:AA, "Yes")</f>
        <v>0</v>
      </c>
      <c r="E46" s="70">
        <f>COUNTIFS('Expression of Interest'!H:H, $A46, 'Expression of Interest'!J:J, "Yes", 'Expression of Interest'!AA:AA, "Yes")</f>
        <v>0</v>
      </c>
      <c r="F46" s="70">
        <f>COUNTIFS('Expression of Interest'!H:H, $A46, 'Expression of Interest'!K:K, "Yes", 'Expression of Interest'!AA:AA, "Yes")</f>
        <v>0</v>
      </c>
      <c r="G46" s="70">
        <f>IFERROR(__xludf.DUMMYFUNCTION("COUNTA(UNIQUE(FILTER('Expression of Interest'!M:M, 'Expression of Interest'!H:H=$A46, 'Expression of Interest'!AA:AA=""Yes"")))"),1.0)</f>
        <v>1</v>
      </c>
      <c r="H46" s="70">
        <f>COUNTIFS('Expression of Interest'!H:H, $A46, 'Expression of Interest'!F:F, "Yes")</f>
        <v>0</v>
      </c>
      <c r="I46" s="77">
        <v>45573.0</v>
      </c>
      <c r="J46" s="67" t="s">
        <v>143</v>
      </c>
      <c r="M46" s="69"/>
    </row>
    <row r="47">
      <c r="A47" s="69" t="s">
        <v>48</v>
      </c>
      <c r="B47" s="69" t="b">
        <f>COUNTIF(DataBase!$B$2:$B$26,A47) &gt; 0</f>
        <v>1</v>
      </c>
      <c r="C47" s="69">
        <f>COUNTIFS('Expression of Interest'!H:H, A47, 'Expression of Interest'!AA:AA, "Yes")</f>
        <v>0</v>
      </c>
      <c r="D47" s="70">
        <f>COUNTIFS('Expression of Interest'!H:H, $A47, 'Expression of Interest'!G:G, "F", 'Expression of Interest'!AA:AA, "Yes")</f>
        <v>0</v>
      </c>
      <c r="E47" s="70">
        <f>COUNTIFS('Expression of Interest'!H:H, $A47, 'Expression of Interest'!J:J, "Yes", 'Expression of Interest'!AA:AA, "Yes")</f>
        <v>0</v>
      </c>
      <c r="F47" s="70">
        <f>COUNTIFS('Expression of Interest'!H:H, $A47, 'Expression of Interest'!K:K, "Yes", 'Expression of Interest'!AA:AA, "Yes")</f>
        <v>0</v>
      </c>
      <c r="G47" s="70">
        <f>IFERROR(__xludf.DUMMYFUNCTION("COUNTA(UNIQUE(FILTER('Expression of Interest'!M:M, 'Expression of Interest'!H:H=$A47, 'Expression of Interest'!AA:AA=""Yes"")))"),1.0)</f>
        <v>1</v>
      </c>
      <c r="H47" s="70">
        <f>COUNTIFS('Expression of Interest'!H:H, $A47, 'Expression of Interest'!F:F, "Yes")</f>
        <v>0</v>
      </c>
      <c r="I47" s="77">
        <v>45573.0</v>
      </c>
      <c r="J47" s="67" t="s">
        <v>143</v>
      </c>
      <c r="M47" s="69"/>
    </row>
    <row r="48">
      <c r="A48" s="69" t="s">
        <v>144</v>
      </c>
      <c r="B48" s="69" t="b">
        <f>COUNTIF(DataBase!$B$2:$B$26,A48) &gt; 0</f>
        <v>0</v>
      </c>
      <c r="C48" s="69">
        <f>COUNTIFS('Expression of Interest'!H:H, A48, 'Expression of Interest'!AA:AA, "Yes")</f>
        <v>0</v>
      </c>
      <c r="D48" s="70">
        <f>COUNTIFS('Expression of Interest'!H:H, $A48, 'Expression of Interest'!G:G, "F", 'Expression of Interest'!AA:AA, "Yes")</f>
        <v>0</v>
      </c>
      <c r="E48" s="70">
        <f>COUNTIFS('Expression of Interest'!H:H, $A48, 'Expression of Interest'!J:J, "Yes", 'Expression of Interest'!AA:AA, "Yes")</f>
        <v>0</v>
      </c>
      <c r="F48" s="70">
        <f>COUNTIFS('Expression of Interest'!H:H, $A48, 'Expression of Interest'!K:K, "Yes", 'Expression of Interest'!AA:AA, "Yes")</f>
        <v>0</v>
      </c>
      <c r="G48" s="70">
        <f>IFERROR(__xludf.DUMMYFUNCTION("COUNTA(UNIQUE(FILTER('Expression of Interest'!M:M, 'Expression of Interest'!H:H=$A48, 'Expression of Interest'!AA:AA=""Yes"")))"),1.0)</f>
        <v>1</v>
      </c>
      <c r="H48" s="70">
        <f>COUNTIFS('Expression of Interest'!H:H, $A48, 'Expression of Interest'!F:F, "Yes")</f>
        <v>0</v>
      </c>
      <c r="I48" s="77">
        <v>45573.0</v>
      </c>
      <c r="J48" s="67" t="s">
        <v>143</v>
      </c>
      <c r="M48" s="69"/>
    </row>
    <row r="49">
      <c r="B49" s="74">
        <f>COUNTIF(B3:B45, TRUE)/COUNTA(B3:B45)</f>
        <v>0.511627907</v>
      </c>
      <c r="C49" s="74">
        <f>SUM(C3:C48)</f>
        <v>0</v>
      </c>
      <c r="D49" s="75" t="str">
        <f t="shared" ref="D49:F49" si="2">SUM(D3:D48)/$C$49</f>
        <v>#DIV/0!</v>
      </c>
      <c r="E49" s="75" t="str">
        <f t="shared" si="2"/>
        <v>#DIV/0!</v>
      </c>
      <c r="F49" s="75" t="str">
        <f t="shared" si="2"/>
        <v>#DIV/0!</v>
      </c>
      <c r="G49" s="76"/>
      <c r="H49" s="76">
        <f>SUM(H3:H42)</f>
        <v>0</v>
      </c>
      <c r="M49" s="69"/>
    </row>
    <row r="50">
      <c r="M50" s="69"/>
    </row>
    <row r="51">
      <c r="M51" s="69"/>
    </row>
    <row r="52">
      <c r="M52" s="69"/>
    </row>
    <row r="53">
      <c r="M53" s="69"/>
    </row>
    <row r="54">
      <c r="M54" s="69"/>
    </row>
    <row r="55">
      <c r="M55" s="69"/>
    </row>
    <row r="56">
      <c r="M56" s="69"/>
    </row>
    <row r="57">
      <c r="M57" s="69"/>
    </row>
    <row r="58">
      <c r="M58" s="69"/>
    </row>
    <row r="59">
      <c r="M59" s="69"/>
    </row>
    <row r="60">
      <c r="M60" s="69"/>
    </row>
    <row r="61">
      <c r="M61" s="69"/>
    </row>
    <row r="62">
      <c r="M62" s="69"/>
    </row>
    <row r="63">
      <c r="M63" s="69"/>
    </row>
    <row r="64">
      <c r="M64" s="69"/>
    </row>
    <row r="65">
      <c r="M65" s="69"/>
    </row>
    <row r="66">
      <c r="M66" s="69"/>
    </row>
    <row r="67">
      <c r="M67" s="69"/>
    </row>
    <row r="68">
      <c r="M68" s="69"/>
    </row>
    <row r="69">
      <c r="M69" s="69"/>
    </row>
    <row r="70">
      <c r="M70" s="69"/>
    </row>
    <row r="71">
      <c r="M71" s="69"/>
    </row>
    <row r="72">
      <c r="M72" s="69"/>
    </row>
    <row r="73">
      <c r="M73" s="69"/>
    </row>
    <row r="74">
      <c r="M74" s="69"/>
    </row>
    <row r="75">
      <c r="M75" s="69"/>
    </row>
    <row r="76">
      <c r="M76" s="69"/>
    </row>
    <row r="77">
      <c r="M77" s="69"/>
    </row>
    <row r="78">
      <c r="M78" s="69"/>
    </row>
    <row r="79">
      <c r="M79" s="69"/>
    </row>
  </sheetData>
  <conditionalFormatting sqref="D3:D48">
    <cfRule type="cellIs" dxfId="1" priority="1" operator="lessThan">
      <formula>$D$1</formula>
    </cfRule>
  </conditionalFormatting>
  <conditionalFormatting sqref="O3:O13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C3:C48">
    <cfRule type="cellIs" dxfId="1" priority="3" operator="lessThan">
      <formula>$C$1</formula>
    </cfRule>
  </conditionalFormatting>
  <conditionalFormatting sqref="F3:F48">
    <cfRule type="cellIs" dxfId="1" priority="4" operator="lessThan">
      <formula>$F$1</formula>
    </cfRule>
  </conditionalFormatting>
  <conditionalFormatting sqref="E3:E48">
    <cfRule type="cellIs" dxfId="1" priority="5" operator="lessThan">
      <formula>$E$1</formula>
    </cfRule>
  </conditionalFormatting>
  <conditionalFormatting sqref="B49">
    <cfRule type="cellIs" dxfId="1" priority="6" operator="lessThan">
      <formula>0.5</formula>
    </cfRule>
  </conditionalFormatting>
  <conditionalFormatting sqref="E49">
    <cfRule type="cellIs" dxfId="1" priority="7" operator="lessThan">
      <formula>0.4</formula>
    </cfRule>
  </conditionalFormatting>
  <conditionalFormatting sqref="D49:F49">
    <cfRule type="cellIs" dxfId="1" priority="8" operator="lessThan">
      <formula>0.5</formula>
    </cfRule>
  </conditionalFormatting>
  <conditionalFormatting sqref="F49:G49">
    <cfRule type="cellIs" dxfId="1" priority="9" operator="lessThan">
      <formula>0.25</formula>
    </cfRule>
  </conditionalFormatting>
  <conditionalFormatting sqref="G3:G48">
    <cfRule type="cellIs" dxfId="1" priority="10" operator="lessThan">
      <formula>$G$1</formula>
    </cfRule>
  </conditionalFormatting>
  <conditionalFormatting sqref="A3:A45">
    <cfRule type="expression" dxfId="0" priority="11">
      <formula>I3="NA"</formula>
    </cfRule>
  </conditionalFormatting>
  <conditionalFormatting sqref="A3:A45">
    <cfRule type="expression" dxfId="2" priority="12">
      <formula>I3=""</formula>
    </cfRule>
  </conditionalFormatting>
  <conditionalFormatting sqref="A3:A45">
    <cfRule type="expression" dxfId="3" priority="13">
      <formula>I3 &lt;= TODAY()</formula>
    </cfRule>
  </conditionalFormatting>
  <conditionalFormatting sqref="A3:A45">
    <cfRule type="expression" dxfId="4" priority="14">
      <formula>I3 &gt; TODAY()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145</v>
      </c>
      <c r="B1" s="69" t="str">
        <f>IFERROR(__xludf.DUMMYFUNCTION("JOIN(""; "", UNIQUE('Expression of Interest'!E2:E1000))"),"; Email*")</f>
        <v>; Email*</v>
      </c>
    </row>
  </sheetData>
  <drawing r:id="rId1"/>
</worksheet>
</file>